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 name="Info Elements Review"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 width="14" customWidth="1" min="14" max="14"/>
    <col hidden="1" width="14" customWidth="1" min="15" max="15"/>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c r="N1" t="inlineStr">
        <is>
          <t>F1</t>
        </is>
      </c>
      <c r="O1" t="inlineStr">
        <is>
          <t>GT Step Count</t>
        </is>
      </c>
    </row>
    <row r="2">
      <c r="A2" s="1" t="n">
        <v>10</v>
      </c>
      <c r="B2" s="1" t="inlineStr">
        <is>
          <t>Material Files</t>
        </is>
      </c>
      <c r="C2" s="1" t="inlineStr">
        <is>
          <t>bugscribe_mutli-candidate_transitions_and_screen_descriptions</t>
        </is>
      </c>
      <c r="D2" s="1" t="inlineStr">
        <is>
          <t>LC_LP</t>
        </is>
      </c>
      <c r="E2" s="1" t="inlineStr">
        <is>
          <t>It restarts on its own.</t>
        </is>
      </c>
      <c r="F2" s="1" t="inlineStr">
        <is>
          <t>Title: FTP server restarts on its own after being toggled and the app is dismissed from Recents
Observed Behavior: On the FTP server screen, if the user turns the FTP server on, turns it off, presses Back to leave the app, and dismisses the Files app from the Recents screen, the FTP server restarts on its own.
Expected Behavior: The FTP server should not restart on its own.</t>
        </is>
      </c>
      <c r="G2"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2" s="1" t="inlineStr">
        <is>
          <t>Open the Files app.</t>
        </is>
      </c>
      <c r="I2" s="1" t="inlineStr">
        <is>
          <t>CS</t>
        </is>
      </c>
      <c r="J2" s="1" t="inlineStr">
        <is>
          <t>Open app &lt;aa09f6aef3409759f67d672c9efcbd64d8f3b0ee61cf3e8d197f0539e34430d2&gt;</t>
        </is>
      </c>
      <c r="K2" s="1" t="inlineStr">
        <is>
          <t>CS</t>
        </is>
      </c>
      <c r="L2" s="1">
        <f>IFERROR(COUNTIF(K2:K9,"CS")/COUNTA(K2:K9),"")</f>
        <v/>
      </c>
      <c r="M2" s="1">
        <f>COUNTIF(K2:K9,"CS")/6</f>
        <v/>
      </c>
      <c r="N2" s="1">
        <f>IFERROR(2*(L2*M2)/(L2+M2),"")</f>
        <v/>
      </c>
      <c r="O2" s="1" t="n">
        <v>6</v>
      </c>
    </row>
    <row r="3">
      <c r="A3" s="1" t="inlineStr"/>
      <c r="B3" s="1" t="inlineStr"/>
      <c r="C3" s="1" t="inlineStr"/>
      <c r="D3" s="1" t="inlineStr"/>
      <c r="E3" s="1" t="inlineStr"/>
      <c r="F3" s="1" t="inlineStr"/>
      <c r="G3" s="1" t="inlineStr"/>
      <c r="H3" s="1" t="inlineStr">
        <is>
          <t>On the permission dialog, tap Allow.</t>
        </is>
      </c>
      <c r="I3" s="1" t="inlineStr">
        <is>
          <t>CS</t>
        </is>
      </c>
      <c r="J3" s="1" t="inlineStr">
        <is>
          <t>Click allow &lt;9253ef287211a96261d15d2522d1499f880b411f5e49851b98bae34f3403ab9d&gt;</t>
        </is>
      </c>
      <c r="K3" s="1" t="inlineStr">
        <is>
          <t>CS</t>
        </is>
      </c>
      <c r="L3" s="1" t="inlineStr"/>
      <c r="M3" s="1" t="inlineStr"/>
      <c r="N3" s="1" t="inlineStr"/>
      <c r="O3" s="1" t="inlineStr"/>
    </row>
    <row r="4">
      <c r="A4" s="1" t="inlineStr"/>
      <c r="B4" s="1" t="inlineStr"/>
      <c r="C4" s="1" t="inlineStr"/>
      <c r="D4" s="1" t="inlineStr"/>
      <c r="E4" s="1" t="inlineStr"/>
      <c r="F4" s="1" t="inlineStr"/>
      <c r="G4" s="1" t="inlineStr"/>
      <c r="H4" s="1" t="inlineStr">
        <is>
          <t>Tap the Navigate up button.</t>
        </is>
      </c>
      <c r="I4" s="1" t="inlineStr">
        <is>
          <t>CS</t>
        </is>
      </c>
      <c r="J4" s="1" t="inlineStr">
        <is>
          <t>Click the navigation drawer button, i.e., the menu option &lt;3abd760d81519f7d0b2fe5daa74c918b40f9496bef2bf776dd7b0d8e95a47b49&gt;</t>
        </is>
      </c>
      <c r="K4" s="1" t="inlineStr">
        <is>
          <t>CS</t>
        </is>
      </c>
      <c r="L4" s="1" t="inlineStr"/>
      <c r="M4" s="1" t="inlineStr"/>
      <c r="N4" s="1" t="inlineStr"/>
      <c r="O4" s="1" t="inlineStr"/>
    </row>
    <row r="5">
      <c r="A5" s="1" t="inlineStr"/>
      <c r="B5" s="1" t="inlineStr"/>
      <c r="C5" s="1" t="inlineStr"/>
      <c r="D5" s="1" t="inlineStr"/>
      <c r="E5" s="1" t="inlineStr"/>
      <c r="F5" s="1" t="inlineStr"/>
      <c r="G5" s="1" t="inlineStr"/>
      <c r="H5" s="1" t="inlineStr">
        <is>
          <t>Tap FTP server.</t>
        </is>
      </c>
      <c r="I5" s="1" t="inlineStr">
        <is>
          <t>CS</t>
        </is>
      </c>
      <c r="J5" s="1" t="inlineStr">
        <is>
          <t>Click FTP server &lt;ed4ddd149d2da1bda9c6a957048313602988bce3f183bd199efeacece662aeec&gt;</t>
        </is>
      </c>
      <c r="K5" s="1" t="inlineStr">
        <is>
          <t>CS</t>
        </is>
      </c>
      <c r="L5" s="1" t="inlineStr"/>
      <c r="M5" s="1" t="inlineStr"/>
      <c r="N5" s="1" t="inlineStr"/>
      <c r="O5" s="1" t="inlineStr"/>
    </row>
    <row r="6">
      <c r="A6" s="1" t="inlineStr"/>
      <c r="B6" s="1" t="inlineStr"/>
      <c r="C6" s="1" t="inlineStr"/>
      <c r="D6" s="1" t="inlineStr"/>
      <c r="E6" s="1" t="inlineStr"/>
      <c r="F6" s="1" t="inlineStr"/>
      <c r="G6" s="1" t="inlineStr"/>
      <c r="H6" s="1" t="inlineStr">
        <is>
          <t>On the FTP server screen, tap the switch to turn the FTP server on.</t>
        </is>
      </c>
      <c r="I6" s="1" t="inlineStr">
        <is>
          <t>CS</t>
        </is>
      </c>
      <c r="J6" s="1" t="inlineStr">
        <is>
          <t>Click the status toggle button (switch server on) &lt;8453ee6186ad267c55c0f443ad2d1644911453cf4f005a06837b415345db6be5 &gt;</t>
        </is>
      </c>
      <c r="K6" s="1" t="inlineStr">
        <is>
          <t>CS</t>
        </is>
      </c>
      <c r="L6" s="1" t="inlineStr"/>
      <c r="M6" s="1" t="inlineStr"/>
      <c r="N6" s="1" t="inlineStr"/>
      <c r="O6" s="1" t="inlineStr"/>
    </row>
    <row r="7">
      <c r="A7" s="1" t="inlineStr"/>
      <c r="B7" s="1" t="inlineStr"/>
      <c r="C7" s="1" t="inlineStr"/>
      <c r="D7" s="1" t="inlineStr"/>
      <c r="E7" s="1" t="inlineStr"/>
      <c r="F7" s="1" t="inlineStr"/>
      <c r="G7" s="1" t="inlineStr"/>
      <c r="H7" s="1" t="inlineStr">
        <is>
          <t>Tap the switch to turn the FTP server off.</t>
        </is>
      </c>
      <c r="I7" s="1" t="inlineStr">
        <is>
          <t>CS</t>
        </is>
      </c>
      <c r="J7" s="1" t="inlineStr">
        <is>
          <t>Click the status toggle button (switch server off) &lt;5f369cd30bd1e5644d294c31e5ff58277cad40b2633f69cc4105944721df8b1b&gt;</t>
        </is>
      </c>
      <c r="K7" s="1" t="inlineStr">
        <is>
          <t>CS</t>
        </is>
      </c>
      <c r="L7" s="1" t="inlineStr"/>
      <c r="M7" s="1" t="inlineStr"/>
      <c r="N7" s="1" t="inlineStr"/>
      <c r="O7" s="1" t="inlineStr"/>
    </row>
    <row r="8">
      <c r="A8" s="1" t="inlineStr"/>
      <c r="B8" s="1" t="inlineStr"/>
      <c r="C8" s="1" t="inlineStr"/>
      <c r="D8" s="1" t="inlineStr"/>
      <c r="E8" s="1" t="inlineStr"/>
      <c r="F8" s="1" t="inlineStr"/>
      <c r="G8" s="1" t="inlineStr"/>
      <c r="H8" s="1" t="inlineStr">
        <is>
          <t>Press Back to leave the app.</t>
        </is>
      </c>
      <c r="I8" s="1" t="inlineStr">
        <is>
          <t>ES</t>
        </is>
      </c>
      <c r="J8" s="1" t="inlineStr"/>
      <c r="K8" s="1" t="inlineStr">
        <is>
          <t>ES</t>
        </is>
      </c>
      <c r="L8" s="1" t="inlineStr"/>
      <c r="M8" s="1" t="inlineStr"/>
      <c r="N8" s="1" t="inlineStr"/>
      <c r="O8" s="1" t="inlineStr"/>
    </row>
    <row r="9">
      <c r="A9" s="1" t="inlineStr"/>
      <c r="B9" s="1" t="inlineStr"/>
      <c r="C9" s="1" t="inlineStr"/>
      <c r="D9" s="1" t="inlineStr"/>
      <c r="E9" s="1" t="inlineStr"/>
      <c r="F9" s="1" t="inlineStr"/>
      <c r="G9" s="1" t="inlineStr"/>
      <c r="H9" s="1" t="inlineStr">
        <is>
          <t>In the Recents screen, dismiss the Files app.</t>
        </is>
      </c>
      <c r="I9" s="1" t="inlineStr">
        <is>
          <t>ES</t>
        </is>
      </c>
      <c r="J9" s="1" t="inlineStr"/>
      <c r="K9" s="1" t="inlineStr">
        <is>
          <t>ES</t>
        </is>
      </c>
      <c r="L9" s="1" t="inlineStr"/>
      <c r="M9" s="1" t="inlineStr"/>
      <c r="N9" s="1" t="inlineStr"/>
      <c r="O9" s="1"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1" t="n">
        <v>135</v>
      </c>
      <c r="B11" s="1" t="inlineStr">
        <is>
          <t>Wikimedia Commons</t>
        </is>
      </c>
      <c r="C11" s="1" t="inlineStr">
        <is>
          <t>bugscribe_mutli-candidate_transitions_and_screen_descriptions</t>
        </is>
      </c>
      <c r="D11" s="1" t="inlineStr">
        <is>
          <t>HC_HP</t>
        </is>
      </c>
      <c r="E11"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11" s="1" t="inlineStr">
        <is>
          <t>Title: Parent Categories tab opens a blank page on the category details screen
Observed Behavior: On the Category Details screen in the Parent Categories tab, if the user taps the Parent Categories tab, the page is blank.
Expected Behavior: The Parent Categories of the current category should be displayed.</t>
        </is>
      </c>
      <c r="G11"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11" s="1" t="inlineStr">
        <is>
          <t>Open the app. &lt;8e8c7133a537849ea1f09bcc2625161404e90d5f93d33e01c0e90230c92a5a7a&gt;</t>
        </is>
      </c>
      <c r="I11" s="1" t="inlineStr">
        <is>
          <t>CS</t>
        </is>
      </c>
      <c r="J11" s="1" t="inlineStr">
        <is>
          <t>Open App &lt;8e8c7133a537849ea1f09bcc2625161404e90d5f93d33e01c0e90230c92a5a7a&gt;</t>
        </is>
      </c>
      <c r="K11" s="1" t="inlineStr">
        <is>
          <t>CS</t>
        </is>
      </c>
      <c r="L11" s="1">
        <f>IFERROR(COUNTIF(K11:K25,"CS")/COUNTA(K11:K25),"")</f>
        <v/>
      </c>
      <c r="M11" s="1">
        <f>COUNTIF(K11:K25,"CS")/15</f>
        <v/>
      </c>
      <c r="N11" s="1">
        <f>IFERROR(2*(L11*M11)/(L11+M11),"")</f>
        <v/>
      </c>
      <c r="O11" s="1" t="n">
        <v>15</v>
      </c>
    </row>
    <row r="12">
      <c r="A12" s="1" t="inlineStr"/>
      <c r="B12" s="1" t="inlineStr"/>
      <c r="C12" s="1" t="inlineStr"/>
      <c r="D12" s="1" t="inlineStr"/>
      <c r="E12" s="1" t="inlineStr"/>
      <c r="F12" s="1" t="inlineStr"/>
      <c r="G12" s="1" t="inlineStr"/>
      <c r="H12" s="1" t="inlineStr">
        <is>
          <t>Swipe left on the first onboarding screen. &lt;b3d177434c01973aefd635e9b2c077d1ba46bf4e2a80da4ed89474511160b63d&gt;</t>
        </is>
      </c>
      <c r="I12" s="1" t="inlineStr">
        <is>
          <t>CS</t>
        </is>
      </c>
      <c r="J12" s="1" t="inlineStr">
        <is>
          <t>Swipe Left &lt;b3d177434c01973aefd635e9b2c077d1ba46bf4e2a80da4ed89474511160b63d&gt;</t>
        </is>
      </c>
      <c r="K12" s="1" t="inlineStr">
        <is>
          <t>CS</t>
        </is>
      </c>
      <c r="L12" s="1" t="inlineStr"/>
      <c r="M12" s="1" t="inlineStr"/>
      <c r="N12" s="1" t="inlineStr"/>
      <c r="O12" s="1" t="inlineStr"/>
    </row>
    <row r="13">
      <c r="A13" s="1" t="inlineStr"/>
      <c r="B13" s="1" t="inlineStr"/>
      <c r="C13" s="1" t="inlineStr"/>
      <c r="D13" s="1" t="inlineStr"/>
      <c r="E13" s="1" t="inlineStr"/>
      <c r="F13" s="1" t="inlineStr"/>
      <c r="G13" s="1" t="inlineStr"/>
      <c r="H13" s="1" t="inlineStr">
        <is>
          <t>Swipe left on the next onboarding screen. &lt;e0f12adac56be76acb79d37d0e90aa329ca9de72ca3481f451a5311f141027c4&gt;</t>
        </is>
      </c>
      <c r="I13" s="1" t="inlineStr">
        <is>
          <t>CS</t>
        </is>
      </c>
      <c r="J13" s="1" t="inlineStr">
        <is>
          <t>Swipe Left &lt;e0f12adac56be76acb79d37d0e90aa329ca9de72ca3481f451a5311f141027c4&gt;</t>
        </is>
      </c>
      <c r="K13" s="1" t="inlineStr">
        <is>
          <t>CS</t>
        </is>
      </c>
      <c r="L13" s="1" t="inlineStr"/>
      <c r="M13" s="1" t="inlineStr"/>
      <c r="N13" s="1" t="inlineStr"/>
      <c r="O13" s="1" t="inlineStr"/>
    </row>
    <row r="14">
      <c r="A14" s="1" t="inlineStr"/>
      <c r="B14" s="1" t="inlineStr"/>
      <c r="C14" s="1" t="inlineStr"/>
      <c r="D14" s="1" t="inlineStr"/>
      <c r="E14" s="1" t="inlineStr"/>
      <c r="F14" s="1" t="inlineStr"/>
      <c r="G14" s="1" t="inlineStr"/>
      <c r="H14" s="1" t="inlineStr">
        <is>
          <t>Swipe left on the next onboarding screen. &lt;8816181fdd2f34a86b06a3bc7208d741eee74c5da62d980f09630d2cf47f6df1&gt;</t>
        </is>
      </c>
      <c r="I14" s="1" t="inlineStr">
        <is>
          <t>CS</t>
        </is>
      </c>
      <c r="J14" s="1" t="inlineStr">
        <is>
          <t>Swipe Left &lt;8816181fdd2f34a86b06a3bc7208d741eee74c5da62d980f09630d2cf47f6df1&gt;</t>
        </is>
      </c>
      <c r="K14" s="1" t="inlineStr">
        <is>
          <t>CS</t>
        </is>
      </c>
      <c r="L14" s="1" t="inlineStr"/>
      <c r="M14" s="1" t="inlineStr"/>
      <c r="N14" s="1" t="inlineStr"/>
      <c r="O14" s="1" t="inlineStr"/>
    </row>
    <row r="15">
      <c r="A15" s="1" t="inlineStr"/>
      <c r="B15" s="1" t="inlineStr"/>
      <c r="C15" s="1" t="inlineStr"/>
      <c r="D15" s="1" t="inlineStr"/>
      <c r="E15" s="1" t="inlineStr"/>
      <c r="F15" s="1" t="inlineStr"/>
      <c r="G15" s="1" t="inlineStr"/>
      <c r="H15" s="1" t="inlineStr">
        <is>
          <t>Swipe left on the next onboarding screen. &lt;b71f779a1f0963d53f1859ce1784a17f4a319592a660124b62c8f18a53cf46e8&gt;</t>
        </is>
      </c>
      <c r="I15" s="1" t="inlineStr">
        <is>
          <t>CS</t>
        </is>
      </c>
      <c r="J15" s="1" t="inlineStr">
        <is>
          <t>Swipe Left &lt;b71f779a1f0963d53f1859ce1784a17f4a319592a660124b62c8f18a53cf46e8&gt;</t>
        </is>
      </c>
      <c r="K15" s="1" t="inlineStr">
        <is>
          <t>CS</t>
        </is>
      </c>
      <c r="L15" s="1" t="inlineStr"/>
      <c r="M15" s="1" t="inlineStr"/>
      <c r="N15" s="1" t="inlineStr"/>
      <c r="O15" s="1" t="inlineStr"/>
    </row>
    <row r="16">
      <c r="A16" s="1" t="inlineStr"/>
      <c r="B16" s="1" t="inlineStr"/>
      <c r="C16" s="1" t="inlineStr"/>
      <c r="D16" s="1" t="inlineStr"/>
      <c r="E16" s="1" t="inlineStr"/>
      <c r="F16" s="1" t="inlineStr"/>
      <c r="G16" s="1" t="inlineStr"/>
      <c r="H16" s="1" t="inlineStr">
        <is>
          <t>Tap "YES!" on the final welcome screen. &lt;9637973e88b508b265333dbf56463d16981017c2c09b4c69c5b9902e347d39e5&gt;</t>
        </is>
      </c>
      <c r="I16" s="1" t="inlineStr">
        <is>
          <t>CS</t>
        </is>
      </c>
      <c r="J16" s="1" t="inlineStr">
        <is>
          <t>Click YES &lt;9637973e88b508b265333dbf56463d16981017c2c09b4c69c5b9902e347d39e5&gt;</t>
        </is>
      </c>
      <c r="K16" s="1" t="inlineStr">
        <is>
          <t>CS</t>
        </is>
      </c>
      <c r="L16" s="1" t="inlineStr"/>
      <c r="M16" s="1" t="inlineStr"/>
      <c r="N16" s="1" t="inlineStr"/>
      <c r="O16" s="1" t="inlineStr"/>
    </row>
    <row r="17">
      <c r="A17" s="1" t="inlineStr"/>
      <c r="B17" s="1" t="inlineStr"/>
      <c r="C17" s="1" t="inlineStr"/>
      <c r="D17" s="1" t="inlineStr"/>
      <c r="E17" s="1" t="inlineStr"/>
      <c r="F17" s="1" t="inlineStr"/>
      <c r="G17" s="1" t="inlineStr"/>
      <c r="H17" s="1" t="inlineStr">
        <is>
          <t>Tap "Skip" on the login screen. &lt;bb009cd969fdfffc3f5842081f292334289f80d5b8fc399d1fce7ec4972173c4&gt;</t>
        </is>
      </c>
      <c r="I17" s="1" t="inlineStr">
        <is>
          <t>CS</t>
        </is>
      </c>
      <c r="J17" s="1" t="inlineStr">
        <is>
          <t>Click Skip &lt;bb009cd969fdfffc3f5842081f292334289f80d5b8fc399d1fce7ec4972173c4&gt;</t>
        </is>
      </c>
      <c r="K17" s="1" t="inlineStr">
        <is>
          <t>CS</t>
        </is>
      </c>
      <c r="L17" s="1" t="inlineStr"/>
      <c r="M17" s="1" t="inlineStr"/>
      <c r="N17" s="1" t="inlineStr"/>
      <c r="O17" s="1" t="inlineStr"/>
    </row>
    <row r="18">
      <c r="A18" s="1" t="inlineStr"/>
      <c r="B18" s="1" t="inlineStr"/>
      <c r="C18" s="1" t="inlineStr"/>
      <c r="D18" s="1" t="inlineStr"/>
      <c r="E18" s="1" t="inlineStr"/>
      <c r="F18" s="1" t="inlineStr"/>
      <c r="G18" s="1" t="inlineStr"/>
      <c r="H18" s="1" t="inlineStr">
        <is>
          <t>Tap "YES" on the skip login confirmation dialog. &lt;a15358162dfdc9d6068f688c1a95276f63e1788b93f9311047afa58f7e695b0b&gt;</t>
        </is>
      </c>
      <c r="I18" s="1" t="inlineStr">
        <is>
          <t>CS</t>
        </is>
      </c>
      <c r="J18" s="1" t="inlineStr">
        <is>
          <t>Click YES &lt;a15358162dfdc9d6068f688c1a95276f63e1788b93f9311047afa58f7e695b0b&gt;</t>
        </is>
      </c>
      <c r="K18" s="1" t="inlineStr">
        <is>
          <t>CS</t>
        </is>
      </c>
      <c r="L18" s="1" t="inlineStr"/>
      <c r="M18" s="1" t="inlineStr"/>
      <c r="N18" s="1" t="inlineStr"/>
      <c r="O18" s="1" t="inlineStr"/>
    </row>
    <row r="19">
      <c r="A19" s="1" t="inlineStr"/>
      <c r="B19" s="1" t="inlineStr"/>
      <c r="C19" s="1" t="inlineStr"/>
      <c r="D19" s="1" t="inlineStr"/>
      <c r="E19" s="1" t="inlineStr"/>
      <c r="F19" s="1" t="inlineStr"/>
      <c r="G19" s="1" t="inlineStr"/>
      <c r="H19" s="1" t="inlineStr">
        <is>
          <t>Open the navigation drawer from the Explore screen. &lt;1d89fc61d139df7152892234c2a3f5174669a9b3b57a90c88ff95b811528ce5e&gt;</t>
        </is>
      </c>
      <c r="I19" s="1" t="inlineStr">
        <is>
          <t>CS</t>
        </is>
      </c>
      <c r="J19" s="1" t="inlineStr">
        <is>
          <t>Click the navigation drawer button, i.e., the menu option &lt;1d89fc61d139df7152892234c2a3f5174669a9b3b57a90c88ff95b811528ce5e&gt;</t>
        </is>
      </c>
      <c r="K19" s="1" t="inlineStr">
        <is>
          <t>CS</t>
        </is>
      </c>
      <c r="L19" s="1" t="inlineStr"/>
      <c r="M19" s="1" t="inlineStr"/>
      <c r="N19" s="1" t="inlineStr"/>
      <c r="O19" s="1" t="inlineStr"/>
    </row>
    <row r="20">
      <c r="A20" s="1" t="inlineStr"/>
      <c r="B20" s="1" t="inlineStr"/>
      <c r="C20" s="1" t="inlineStr"/>
      <c r="D20" s="1" t="inlineStr"/>
      <c r="E20" s="1" t="inlineStr"/>
      <c r="F20" s="1" t="inlineStr"/>
      <c r="G20" s="1" t="inlineStr"/>
      <c r="H20" s="1" t="inlineStr">
        <is>
          <t>Select "Explore" from the navigation drawer. &lt;2cb54b6b2c319fadcb77770ddc6f08bc1620d2ea99af5e4315a0e04d97476e34&gt;</t>
        </is>
      </c>
      <c r="I20" s="1" t="inlineStr">
        <is>
          <t>CS</t>
        </is>
      </c>
      <c r="J20" s="1" t="inlineStr">
        <is>
          <t>Click Explore &lt;2cb54b6b2c319fadcb77770ddc6f08bc1620d2ea99af5e4315a0e04d97476e34&gt;</t>
        </is>
      </c>
      <c r="K20" s="1" t="inlineStr">
        <is>
          <t>CS</t>
        </is>
      </c>
      <c r="L20" s="1" t="inlineStr"/>
      <c r="M20" s="1" t="inlineStr"/>
      <c r="N20" s="1" t="inlineStr"/>
      <c r="O20" s="1" t="inlineStr"/>
    </row>
    <row r="21">
      <c r="A21" s="1" t="inlineStr"/>
      <c r="B21" s="1" t="inlineStr"/>
      <c r="C21" s="1" t="inlineStr"/>
      <c r="D21" s="1" t="inlineStr"/>
      <c r="E21" s="1" t="inlineStr"/>
      <c r="F21" s="1" t="inlineStr"/>
      <c r="G21" s="1" t="inlineStr"/>
      <c r="H21" s="1" t="inlineStr">
        <is>
          <t>Tap a picture in the Explore grid to open its media details. &lt;eeb2dcc5b038a5365fc5e3968862c3ae476f8c007955b49e9585b8a8b05bc0c1&gt;</t>
        </is>
      </c>
      <c r="I21" s="1" t="inlineStr">
        <is>
          <t>CS</t>
        </is>
      </c>
      <c r="J21" s="1" t="inlineStr">
        <is>
          <t>Click a picture &lt;eeb2dcc5b038a5365fc5e3968862c3ae476f8c007955b49e9585b8a8b05bc0c1&gt;</t>
        </is>
      </c>
      <c r="K21" s="1" t="inlineStr">
        <is>
          <t>CS</t>
        </is>
      </c>
      <c r="L21" s="1" t="inlineStr"/>
      <c r="M21" s="1" t="inlineStr"/>
      <c r="N21" s="1" t="inlineStr"/>
      <c r="O21" s="1" t="inlineStr"/>
    </row>
    <row r="22">
      <c r="A22" s="1" t="inlineStr"/>
      <c r="B22" s="1" t="inlineStr"/>
      <c r="C22" s="1" t="inlineStr"/>
      <c r="D22" s="1" t="inlineStr"/>
      <c r="E22" s="1" t="inlineStr"/>
      <c r="F22" s="1" t="inlineStr"/>
      <c r="G22" s="1" t="inlineStr"/>
      <c r="H22" s="1" t="inlineStr">
        <is>
          <t>Swipe up on the media details screen. &lt;d84994fbe18eaf7d76f1dfe454496f07db5e6a0c2213452558c14661322567ac&gt;</t>
        </is>
      </c>
      <c r="I22" s="1" t="inlineStr">
        <is>
          <t>CS</t>
        </is>
      </c>
      <c r="J22" s="1" t="inlineStr">
        <is>
          <t>Swipe Up &lt;d84994fbe18eaf7d76f1dfe454496f07db5e6a0c2213452558c14661322567ac&gt;</t>
        </is>
      </c>
      <c r="K22" s="1" t="inlineStr">
        <is>
          <t>CS</t>
        </is>
      </c>
      <c r="L22" s="1" t="inlineStr"/>
      <c r="M22" s="1" t="inlineStr"/>
      <c r="N22" s="1" t="inlineStr"/>
      <c r="O22" s="1" t="inlineStr"/>
    </row>
    <row r="23">
      <c r="A23" s="1" t="inlineStr"/>
      <c r="B23" s="1" t="inlineStr"/>
      <c r="C23" s="1" t="inlineStr"/>
      <c r="D23" s="1" t="inlineStr"/>
      <c r="E23" s="1" t="inlineStr"/>
      <c r="F23" s="1" t="inlineStr"/>
      <c r="G23" s="1" t="inlineStr"/>
      <c r="H23" s="1" t="inlineStr">
        <is>
          <t>Swipe up again on the media details screen. &lt;44efd4db46c1a856f86f5f10423f5a596b37a4499b0d7f8dbc4036eba4edddf7&gt;</t>
        </is>
      </c>
      <c r="I23" s="1" t="inlineStr">
        <is>
          <t>CS</t>
        </is>
      </c>
      <c r="J23" s="1" t="inlineStr">
        <is>
          <t>Swipe Up &lt;44efd4db46c1a856f86f5f10423f5a596b37a4499b0d7f8dbc4036eba4edddf7&gt;</t>
        </is>
      </c>
      <c r="K23" s="1" t="inlineStr">
        <is>
          <t>CS</t>
        </is>
      </c>
      <c r="L23" s="1" t="inlineStr"/>
      <c r="M23" s="1" t="inlineStr"/>
      <c r="N23" s="1" t="inlineStr"/>
      <c r="O23" s="1" t="inlineStr"/>
    </row>
    <row r="24">
      <c r="A24" s="1" t="inlineStr"/>
      <c r="B24" s="1" t="inlineStr"/>
      <c r="C24" s="1" t="inlineStr"/>
      <c r="D24" s="1" t="inlineStr"/>
      <c r="E24" s="1" t="inlineStr"/>
      <c r="F24" s="1" t="inlineStr"/>
      <c r="G24" s="1" t="inlineStr"/>
      <c r="H24" s="1" t="inlineStr">
        <is>
          <t>Tap a category from the media details categories list. &lt;f855240a7c5488e1a1fd483c6fec3b99757ca2940f7ceba50517a42c5e6211dc&gt;</t>
        </is>
      </c>
      <c r="I24" s="1" t="inlineStr">
        <is>
          <t>CS</t>
        </is>
      </c>
      <c r="J24" s="1" t="inlineStr">
        <is>
          <t>Click a category &lt;f855240a7c5488e1a1fd483c6fec3b99757ca2940f7ceba50517a42c5e6211dc&gt;</t>
        </is>
      </c>
      <c r="K24" s="1" t="inlineStr">
        <is>
          <t>CS</t>
        </is>
      </c>
      <c r="L24" s="1" t="inlineStr"/>
      <c r="M24" s="1" t="inlineStr"/>
      <c r="N24" s="1" t="inlineStr"/>
      <c r="O24" s="1" t="inlineStr"/>
    </row>
    <row r="25">
      <c r="A25" s="1" t="inlineStr"/>
      <c r="B25" s="1" t="inlineStr"/>
      <c r="C25" s="1" t="inlineStr"/>
      <c r="D25" s="1" t="inlineStr"/>
      <c r="E25" s="1" t="inlineStr"/>
      <c r="F25" s="1" t="inlineStr"/>
      <c r="G25" s="1" t="inlineStr"/>
      <c r="H25" s="1" t="inlineStr">
        <is>
          <t>Tap the "PARENT CATEGORIES" tab on the category screen. &lt;31951cb9f29b46f435d8f75ccd1b6f6cc6ead9febe61faa81dad6e547e91a68f&gt;</t>
        </is>
      </c>
      <c r="I25" s="1" t="inlineStr">
        <is>
          <t>CS</t>
        </is>
      </c>
      <c r="J25" s="1" t="inlineStr">
        <is>
          <t>Click parent Categories &lt;31951cb9f29b46f435d8f75ccd1b6f6cc6ead9febe61faa81dad6e547e91a68f&gt;</t>
        </is>
      </c>
      <c r="K25" s="1" t="inlineStr">
        <is>
          <t>CS</t>
        </is>
      </c>
      <c r="L25" s="1" t="inlineStr"/>
      <c r="M25" s="1" t="inlineStr"/>
      <c r="N25" s="1" t="inlineStr"/>
      <c r="O25" s="1"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1" t="n">
        <v>2</v>
      </c>
      <c r="B27" s="1" t="inlineStr">
        <is>
          <t>Family Finance</t>
        </is>
      </c>
      <c r="C27" s="1" t="inlineStr">
        <is>
          <t>bugscribe_mutli-candidate_transitions_and_screen_descriptions</t>
        </is>
      </c>
      <c r="D27" s="1" t="inlineStr">
        <is>
          <t>HC_HP</t>
        </is>
      </c>
      <c r="E27"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27" s="1" t="inlineStr">
        <is>
          <t>Title: App crashes when enabling View values and Use percent values for the Incomes by Articles report and tapping OK
Observed Behavior: On the Display of Incomes by Articles pop-up of the Reports screen, if the user checks the View values checkbox, checks the Use percent values checkbox, and taps OK, the application crashes.
Expected Behavior: The appearance of the report should be changed to use percent values.</t>
        </is>
      </c>
      <c r="G27"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27" s="1" t="inlineStr">
        <is>
          <t>Open the app. &lt;fa8baa4de2d1015dd5da60a38bcc25a725e918d25bafb6b4b8bafe8f727ccfcf&gt;</t>
        </is>
      </c>
      <c r="I27" s="1" t="inlineStr">
        <is>
          <t>CS</t>
        </is>
      </c>
      <c r="J27" s="1" t="inlineStr">
        <is>
          <t>Open app &lt;fa8baa4de2d1015dd5da60a38bcc25a725e918d25bafb6b4b8bafe8f727ccfcf&gt;</t>
        </is>
      </c>
      <c r="K27" s="1" t="inlineStr">
        <is>
          <t>CS</t>
        </is>
      </c>
      <c r="L27" s="1">
        <f>IFERROR(COUNTIF(K27:K35,"CS")/COUNTA(K27:K35),"")</f>
        <v/>
      </c>
      <c r="M27" s="1">
        <f>COUNTIF(K27:K35,"CS")/8</f>
        <v/>
      </c>
      <c r="N27" s="1">
        <f>IFERROR(2*(L27*M27)/(L27+M27),"")</f>
        <v/>
      </c>
      <c r="O27" s="1" t="n">
        <v>8</v>
      </c>
    </row>
    <row r="28">
      <c r="A28" s="1" t="inlineStr"/>
      <c r="B28" s="1" t="inlineStr"/>
      <c r="C28" s="1" t="inlineStr"/>
      <c r="D28" s="1" t="inlineStr"/>
      <c r="E28" s="1" t="inlineStr"/>
      <c r="F28" s="1" t="inlineStr"/>
      <c r="G28" s="1" t="inlineStr"/>
      <c r="H28" s="1" t="inlineStr">
        <is>
          <t>Tap Allow on the SMS permission dialog. &lt;8407e328c4a9d75304cf3edee19af6616ae654caca4e79229e0df0c827909816&gt;</t>
        </is>
      </c>
      <c r="I28" s="1" t="inlineStr">
        <is>
          <t>CS</t>
        </is>
      </c>
      <c r="J28" s="1" t="inlineStr">
        <is>
          <t>Click allow button &lt;8407e328c4a9d75304cf3edee19af6616ae654caca4e79229e0df0c827909816&gt;</t>
        </is>
      </c>
      <c r="K28" s="1" t="inlineStr">
        <is>
          <t>CS</t>
        </is>
      </c>
      <c r="L28" s="1" t="inlineStr"/>
      <c r="M28" s="1" t="inlineStr"/>
      <c r="N28" s="1" t="inlineStr"/>
      <c r="O28" s="1" t="inlineStr"/>
    </row>
    <row r="29">
      <c r="A29" s="1" t="inlineStr"/>
      <c r="B29" s="1" t="inlineStr"/>
      <c r="C29" s="1" t="inlineStr"/>
      <c r="D29" s="1" t="inlineStr"/>
      <c r="E29" s="1" t="inlineStr"/>
      <c r="F29" s="1" t="inlineStr"/>
      <c r="G29" s="1" t="inlineStr"/>
      <c r="H29" s="1" t="inlineStr">
        <is>
          <t>Tap Reports from the main screen. &lt;9a4f389ec16dc06bc51519fd35159ab49c667d2cae3e0323df9bf08cd98bda88&gt;</t>
        </is>
      </c>
      <c r="I29" s="1" t="inlineStr">
        <is>
          <t>CS</t>
        </is>
      </c>
      <c r="J29" s="1" t="inlineStr">
        <is>
          <t>Click Report &lt;9a4f389ec16dc06bc51519fd35159ab49c667d2cae3e0323df9bf08cd98bda88</t>
        </is>
      </c>
      <c r="K29" s="1" t="inlineStr">
        <is>
          <t>CS</t>
        </is>
      </c>
      <c r="L29" s="1" t="inlineStr"/>
      <c r="M29" s="1" t="inlineStr"/>
      <c r="N29" s="1" t="inlineStr"/>
      <c r="O29" s="1" t="inlineStr"/>
    </row>
    <row r="30">
      <c r="A30" s="1" t="inlineStr"/>
      <c r="B30" s="1" t="inlineStr"/>
      <c r="C30" s="1" t="inlineStr"/>
      <c r="D30" s="1" t="inlineStr"/>
      <c r="E30" s="1" t="inlineStr"/>
      <c r="F30" s="1" t="inlineStr"/>
      <c r="G30" s="1" t="inlineStr"/>
      <c r="H30" s="1" t="inlineStr">
        <is>
          <t>Open the Incomes by Articles tab. &lt;c010db1badf9deb0564b10c46916ad505c7d1acca0f840fdc12c4867c81990d0&gt;</t>
        </is>
      </c>
      <c r="I30" s="1" t="inlineStr">
        <is>
          <t>CS</t>
        </is>
      </c>
      <c r="J30" s="1" t="inlineStr">
        <is>
          <t>Click Incomes By Articles or expenses by articles &lt;c010db1badf9deb0564b10c46916ad505c7d1acca0f840fdc12c4867c81990d0&gt;</t>
        </is>
      </c>
      <c r="K30" s="1" t="inlineStr">
        <is>
          <t>CS</t>
        </is>
      </c>
      <c r="L30" s="1" t="inlineStr"/>
      <c r="M30" s="1" t="inlineStr"/>
      <c r="N30" s="1" t="inlineStr"/>
      <c r="O30" s="1" t="inlineStr"/>
    </row>
    <row r="31">
      <c r="A31" s="1" t="inlineStr"/>
      <c r="B31" s="1" t="inlineStr"/>
      <c r="C31" s="1" t="inlineStr"/>
      <c r="D31" s="1" t="inlineStr"/>
      <c r="E31" s="1" t="inlineStr"/>
      <c r="F31" s="1" t="inlineStr"/>
      <c r="G31" s="1" t="inlineStr"/>
      <c r="H31" s="1" t="inlineStr">
        <is>
          <t>Tap Display. &lt;c7c181b4d07f85b6731edefa0c51eca8637b088e992c8d07e2349379db3cd413&gt;</t>
        </is>
      </c>
      <c r="I31" s="1" t="inlineStr">
        <is>
          <t>CS</t>
        </is>
      </c>
      <c r="J31" s="1" t="inlineStr">
        <is>
          <t>Click View Button &lt;c7c181b4d07f85b6731edefa0c51eca8637b088e992c8d07e2349379db3cd413&gt;</t>
        </is>
      </c>
      <c r="K31" s="1" t="inlineStr">
        <is>
          <t>CS</t>
        </is>
      </c>
      <c r="L31" s="1" t="inlineStr"/>
      <c r="M31" s="1" t="inlineStr"/>
      <c r="N31" s="1" t="inlineStr"/>
      <c r="O31" s="1" t="inlineStr"/>
    </row>
    <row r="32">
      <c r="A32" s="1" t="inlineStr"/>
      <c r="B32" s="1" t="inlineStr"/>
      <c r="C32" s="1" t="inlineStr"/>
      <c r="D32" s="1" t="inlineStr"/>
      <c r="E32" s="1" t="inlineStr"/>
      <c r="F32" s="1" t="inlineStr"/>
      <c r="G32" s="1" t="inlineStr"/>
      <c r="H32" s="1" t="inlineStr">
        <is>
          <t>Check View values. &lt;dc01c666d81db01f9ceb751ff256033bcc27f75ab0951ef2f9eff49e39233d64&gt;</t>
        </is>
      </c>
      <c r="I32" s="1" t="inlineStr">
        <is>
          <t>CS</t>
        </is>
      </c>
      <c r="J32" s="1" t="inlineStr">
        <is>
          <t>Click view values checkbox &lt;dc01c666d81db01f9ceb751ff256033bcc27f75ab0951ef2f9eff49e39233d64&gt;</t>
        </is>
      </c>
      <c r="K32" s="1" t="inlineStr">
        <is>
          <t>CS</t>
        </is>
      </c>
      <c r="L32" s="1" t="inlineStr"/>
      <c r="M32" s="1" t="inlineStr"/>
      <c r="N32" s="1" t="inlineStr"/>
      <c r="O32" s="1" t="inlineStr"/>
    </row>
    <row r="33">
      <c r="A33" s="1" t="inlineStr"/>
      <c r="B33" s="1" t="inlineStr"/>
      <c r="C33" s="1" t="inlineStr"/>
      <c r="D33" s="1" t="inlineStr"/>
      <c r="E33" s="1" t="inlineStr"/>
      <c r="F33" s="1" t="inlineStr"/>
      <c r="G33" s="1" t="inlineStr"/>
      <c r="H33" s="1" t="inlineStr">
        <is>
          <t>Check Use percent values. &lt;c3292f1abb084883da9f0bf06776dd33343b186505d53bedfbb8b83717e4b319&gt;</t>
        </is>
      </c>
      <c r="I33" s="1" t="inlineStr">
        <is>
          <t>CS</t>
        </is>
      </c>
      <c r="J33" s="1" t="inlineStr">
        <is>
          <t>Click use percent values checkbox &lt;c3292f1abb084883da9f0bf06776dd33343b186505d53bedfbb8b83717e4b319&gt;</t>
        </is>
      </c>
      <c r="K33" s="1" t="inlineStr">
        <is>
          <t>CS</t>
        </is>
      </c>
      <c r="L33" s="1" t="inlineStr"/>
      <c r="M33" s="1" t="inlineStr"/>
      <c r="N33" s="1" t="inlineStr"/>
      <c r="O33" s="1" t="inlineStr"/>
    </row>
    <row r="34">
      <c r="A34" s="1" t="inlineStr"/>
      <c r="B34" s="1" t="inlineStr"/>
      <c r="C34" s="1" t="inlineStr"/>
      <c r="D34" s="1" t="inlineStr"/>
      <c r="E34" s="1" t="inlineStr"/>
      <c r="F34" s="1" t="inlineStr"/>
      <c r="G34" s="1" t="inlineStr"/>
      <c r="H34" s="1" t="inlineStr">
        <is>
          <t>Tap OK. &lt;ef26a526444b0c0827ef99ce6360670c18cb2ac563b206cf97bd84c9479fa5f6&gt;</t>
        </is>
      </c>
      <c r="I34" s="1" t="inlineStr">
        <is>
          <t>CS</t>
        </is>
      </c>
      <c r="J34" s="1" t="inlineStr">
        <is>
          <t>Click OK &lt;26c0ae2d76021672cf80c07928394773aec07f5be831f91ab09b5f7c2392b6aa&gt;</t>
        </is>
      </c>
      <c r="K34" s="1" t="inlineStr">
        <is>
          <t>CS</t>
        </is>
      </c>
      <c r="L34" s="1" t="inlineStr"/>
      <c r="M34" s="1" t="inlineStr"/>
      <c r="N34" s="1" t="inlineStr"/>
      <c r="O34" s="1" t="inlineStr"/>
    </row>
    <row r="35">
      <c r="A35" s="1" t="inlineStr"/>
      <c r="B35" s="1" t="inlineStr"/>
      <c r="C35" s="1" t="inlineStr"/>
      <c r="D35" s="1" t="inlineStr"/>
      <c r="E35" s="1" t="inlineStr"/>
      <c r="F35" s="1" t="inlineStr"/>
      <c r="G35" s="1" t="inlineStr"/>
      <c r="H35" s="1" t="inlineStr">
        <is>
          <t>If a crash dialog appears, tap OK. &lt;6aa06c426f17d83ac768c98cc6d31a987166d855462845d0b306e83f26fa76f9&gt;</t>
        </is>
      </c>
      <c r="I35" s="1" t="inlineStr">
        <is>
          <t>ES</t>
        </is>
      </c>
      <c r="J35" s="1" t="inlineStr"/>
      <c r="K35" s="1" t="inlineStr">
        <is>
          <t>ES</t>
        </is>
      </c>
      <c r="L35" s="1" t="inlineStr"/>
      <c r="M35" s="1" t="inlineStr"/>
      <c r="N35" s="1" t="inlineStr"/>
      <c r="O35"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10</v>
      </c>
      <c r="B2" s="1" t="inlineStr">
        <is>
          <t>Material Files</t>
        </is>
      </c>
      <c r="C2" s="1" t="inlineStr">
        <is>
          <t>bugscribe_mutli-candidate_transitions_and_screen_descriptions</t>
        </is>
      </c>
      <c r="D2" s="1" t="inlineStr">
        <is>
          <t>LC_LP</t>
        </is>
      </c>
      <c r="E2" s="1" t="inlineStr">
        <is>
          <t>It restarts on its own.</t>
        </is>
      </c>
      <c r="F2" s="1" t="inlineStr">
        <is>
          <t>Title: FTP server restarts on its own after being toggled and the app is dismissed from Recents
Observed Behavior: On the FTP server screen, if the user turns the FTP server on, turns it off, presses Back to leave the app, and dismisses the Files app from the Recents screen, the FTP server restarts on its own.
Expected Behavior: The FTP server should not restart on its own.</t>
        </is>
      </c>
      <c r="G2" s="1" t="inlineStr">
        <is>
          <t>Buggy Behavior: the server restarts automatically
Triggering GUI Interaction: stops the FTP server and then closes the app
Triggering Screen Reference: FTP server screen
Correct Behavior: The FTP server should remain stopped</t>
        </is>
      </c>
      <c r="H2" s="1" t="inlineStr">
        <is>
          <t>Buggy Behavior: the FTP server restarts on its own
Triggering GUI Interactions: turns the FTP server on, turns it off, presses Back to leave the app, and dismisses the Files app from the Recents screen
Triggering Screen Reference: On the FTP server screen
Correct Behavior: The FTP server should not restart on its own.</t>
        </is>
      </c>
      <c r="I2" s="1" t="inlineStr">
        <is>
          <t>Correct</t>
        </is>
      </c>
      <c r="J2" s="1" t="inlineStr">
        <is>
          <t>Incorrect</t>
        </is>
      </c>
      <c r="K2" s="1" t="inlineStr">
        <is>
          <t>Correct</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135</v>
      </c>
      <c r="B4" s="1" t="inlineStr">
        <is>
          <t>Wikimedia Commons</t>
        </is>
      </c>
      <c r="C4" s="1" t="inlineStr">
        <is>
          <t>bugscribe_mutli-candidate_transitions_and_screen_descriptions</t>
        </is>
      </c>
      <c r="D4" s="1" t="inlineStr">
        <is>
          <t>HC_HP</t>
        </is>
      </c>
      <c r="E4"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4" s="1" t="inlineStr">
        <is>
          <t>Title: Parent Categories tab opens a blank page on the category details screen
Observed Behavior: On the Category Details screen in the Parent Categories tab, if the user taps the Parent Categories tab, the page is blank.
Expected Behavior: The Parent Categories of the current category should be displayed.</t>
        </is>
      </c>
      <c r="G4" s="1" t="inlineStr">
        <is>
          <t>Buggy Behavior: see a blank page
Triggering GUI Interaction: clicks the Parent Categories tab
Triggering Screen Reference: Category screen, Parent Categories tab
Correct Behavior: The Parent Categories of the current category should be displayed</t>
        </is>
      </c>
      <c r="H4" s="1" t="inlineStr">
        <is>
          <t>Buggy Behavior: the page is blank
Triggering GUI Interactions: taps the Parent Categories tab
Triggering Screen Reference: On the Category Details screen in the Parent Categories tab
Correct Behavior: The Parent Categories of the current category should be displayed.</t>
        </is>
      </c>
      <c r="I4" s="1" t="inlineStr">
        <is>
          <t>Correct</t>
        </is>
      </c>
      <c r="J4" s="1" t="inlineStr">
        <is>
          <t>Correct</t>
        </is>
      </c>
      <c r="K4" s="1" t="inlineStr">
        <is>
          <t>Correct</t>
        </is>
      </c>
      <c r="L4" s="1" t="inlineStr">
        <is>
          <t>Correct</t>
        </is>
      </c>
    </row>
    <row r="5">
      <c r="A5" s="2" t="inlineStr"/>
      <c r="B5" s="2" t="inlineStr"/>
      <c r="C5" s="2" t="inlineStr"/>
      <c r="D5" s="2" t="inlineStr"/>
      <c r="E5" s="2" t="inlineStr"/>
      <c r="F5" s="2" t="inlineStr"/>
      <c r="G5" s="2" t="inlineStr"/>
      <c r="H5" s="2" t="inlineStr"/>
      <c r="I5" s="2" t="inlineStr"/>
      <c r="J5" s="2" t="inlineStr"/>
      <c r="K5" s="2" t="inlineStr"/>
      <c r="L5" s="2" t="inlineStr"/>
    </row>
    <row r="6">
      <c r="A6" s="1" t="n">
        <v>2</v>
      </c>
      <c r="B6" s="1" t="inlineStr">
        <is>
          <t>Family Finance</t>
        </is>
      </c>
      <c r="C6" s="1" t="inlineStr">
        <is>
          <t>bugscribe_mutli-candidate_transitions_and_screen_descriptions</t>
        </is>
      </c>
      <c r="D6" s="1" t="inlineStr">
        <is>
          <t>HC_HP</t>
        </is>
      </c>
      <c r="E6"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6" s="1" t="inlineStr">
        <is>
          <t>Title: App crashes when enabling View values and Use percent values for the Incomes by Articles report and tapping OK
Observed Behavior: On the Display of Incomes by Articles pop-up of the Reports screen, if the user checks the View values checkbox, checks the Use percent values checkbox, and taps OK, the application crashes.
Expected Behavior: The appearance of the report should be changed to use percent values.</t>
        </is>
      </c>
      <c r="G6"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6" s="1" t="inlineStr">
        <is>
          <t>Buggy Behavior: the application crashes
Triggering GUI Interactions: checks the View values checkbox, checks the Use percent values checkbox, and taps OK
Triggering Screen Reference: On the Display of Incomes by Articles pop-up of the Reports screen
Correct Behavior: The appearance of the report should be changed to use percent values.</t>
        </is>
      </c>
      <c r="I6" s="1" t="inlineStr">
        <is>
          <t>Correct</t>
        </is>
      </c>
      <c r="J6" s="1" t="inlineStr">
        <is>
          <t>Correct</t>
        </is>
      </c>
      <c r="K6" s="1" t="inlineStr">
        <is>
          <t>Correct</t>
        </is>
      </c>
      <c r="L6" s="1" t="inlineStr">
        <is>
          <t>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22" customWidth="1" min="5" max="5"/>
    <col width="20" customWidth="1" min="6" max="6"/>
    <col width="18" customWidth="1" min="7" max="7"/>
    <col width="18" customWidth="1" min="8" max="8"/>
    <col width="20" customWidth="1" min="9" max="9"/>
    <col width="19" customWidth="1" min="10" max="10"/>
    <col width="18" customWidth="1" min="11" max="11"/>
    <col width="20" customWidth="1" min="12" max="12"/>
    <col width="34" customWidth="1" min="13" max="13"/>
    <col width="32" customWidth="1" min="14" max="14"/>
    <col width="26" customWidth="1" min="15" max="15"/>
  </cols>
  <sheetData>
    <row r="1">
      <c r="A1" t="inlineStr">
        <is>
          <t>agent_version</t>
        </is>
      </c>
      <c r="B1" t="inlineStr">
        <is>
          <t>s2r_cs_count</t>
        </is>
      </c>
      <c r="C1" t="inlineStr">
        <is>
          <t>s2r_ms_count</t>
        </is>
      </c>
      <c r="D1" t="inlineStr">
        <is>
          <t>s2r_es_count</t>
        </is>
      </c>
      <c r="E1" t="inlineStr">
        <is>
          <t>average_s2r_precision</t>
        </is>
      </c>
      <c r="F1" t="inlineStr">
        <is>
          <t>average_s2r_recall</t>
        </is>
      </c>
      <c r="G1" t="inlineStr">
        <is>
          <t>average_s2r_f1</t>
        </is>
      </c>
      <c r="H1" t="inlineStr">
        <is>
          <t>info_correct_count</t>
        </is>
      </c>
      <c r="I1" t="inlineStr">
        <is>
          <t>info_incomplete_count</t>
        </is>
      </c>
      <c r="J1" t="inlineStr">
        <is>
          <t>info_ambiguous_count</t>
        </is>
      </c>
      <c r="K1" t="inlineStr">
        <is>
          <t>info_missing_count</t>
        </is>
      </c>
      <c r="L1" t="inlineStr">
        <is>
          <t>info_incorrect_count</t>
        </is>
      </c>
      <c r="M1" t="inlineStr">
        <is>
          <t>average_total_tokens_consumed_per_conv</t>
        </is>
      </c>
      <c r="N1" t="inlineStr">
        <is>
          <t>average_conversation_time_in_seconds</t>
        </is>
      </c>
      <c r="O1" t="inlineStr">
        <is>
          <t>average_conversation_turns</t>
        </is>
      </c>
    </row>
    <row r="2">
      <c r="A2" t="inlineStr">
        <is>
          <t>bugscribe_mutli-candidate_transitions_and_screen_descriptions</t>
        </is>
      </c>
      <c r="B2">
        <f>COUNTIF('S2R Review'!$K:$K,"CS")</f>
        <v/>
      </c>
      <c r="C2">
        <f>SUM('S2R Review'!$O:$O)-B2</f>
        <v/>
      </c>
      <c r="D2">
        <f>COUNTIF('S2R Review'!$K:$K,"ES")</f>
        <v/>
      </c>
      <c r="E2">
        <f>IFERROR(SUM('S2R Review'!$L$2:$L$1048576)/COUNTIF('S2R Review'!$L$2:$L$1048576,"&lt;&gt;"),"")</f>
        <v/>
      </c>
      <c r="F2">
        <f>IFERROR(SUM('S2R Review'!$M$2:$M$1048576)/COUNTIF('S2R Review'!$M$2:$M$1048576,"&lt;&gt;"),"")</f>
        <v/>
      </c>
      <c r="G2">
        <f>IFERROR(SUM('S2R Review'!$N$2:$N$1048576)/COUNTIF('S2R Review'!$N$2:$N$1048576,"&lt;&gt;"),"")</f>
        <v/>
      </c>
      <c r="H2">
        <f>COUNTIF('Info Elements Review'!$I:$I,"Correct")+COUNTIF('Info Elements Review'!$J:$J,"Correct")+COUNTIF('Info Elements Review'!$K:$K,"Correct")+COUNTIF('Info Elements Review'!$L:$L,"Correct")</f>
        <v/>
      </c>
      <c r="I2">
        <f>COUNTIF('Info Elements Review'!$I:$I,"Incomplete")+COUNTIF('Info Elements Review'!$J:$J,"Incomplete")+COUNTIF('Info Elements Review'!$K:$K,"Incomplete")+COUNTIF('Info Elements Review'!$L:$L,"Incomplete")</f>
        <v/>
      </c>
      <c r="J2">
        <f>COUNTIF('Info Elements Review'!$I:$I,"Ambiguous")+COUNTIF('Info Elements Review'!$J:$J,"Ambiguous")+COUNTIF('Info Elements Review'!$K:$K,"Ambiguous")+COUNTIF('Info Elements Review'!$L:$L,"Ambiguous")</f>
        <v/>
      </c>
      <c r="K2">
        <f>COUNTIF('Info Elements Review'!$I:$I,"Missing")+COUNTIF('Info Elements Review'!$J:$J,"Missing")+COUNTIF('Info Elements Review'!$K:$K,"Missing")+COUNTIF('Info Elements Review'!$L:$L,"Missing")</f>
        <v/>
      </c>
      <c r="L2">
        <f>COUNTIF('Info Elements Review'!$I:$I,"Incorrect")+COUNTIF('Info Elements Review'!$J:$J,"Incorrect")+COUNTIF('Info Elements Review'!$K:$K,"Incorrect")+COUNTIF('Info Elements Review'!$L:$L,"Incorrect")</f>
        <v/>
      </c>
      <c r="M2" t="n">
        <v>118778.6666666667</v>
      </c>
      <c r="N2" t="n">
        <v>149.7703270973331</v>
      </c>
      <c r="O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2026-04-08T14:21:18Z</dcterms:created>
  <dcterms:modified xsi:type="dcterms:W3CDTF">2026-04-08T14:21:18Z</dcterms:modified>
</cp:coreProperties>
</file>