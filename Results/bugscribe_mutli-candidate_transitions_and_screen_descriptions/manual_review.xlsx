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2R Review" sheetId="1" state="visible" r:id="rId1"/>
    <sheet name="Info Elements Review" sheetId="2" state="visible" r:id="rId2"/>
    <sheet name="Summary" sheetId="3" state="visible" r:id="rId3"/>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3">
    <fill>
      <patternFill/>
    </fill>
    <fill>
      <patternFill patternType="gray125"/>
    </fill>
    <fill>
      <patternFill patternType="solid">
        <fgColor rgb="00D9D9D9"/>
      </patternFill>
    </fill>
  </fills>
  <borders count="1">
    <border>
      <left/>
      <right/>
      <top/>
      <bottom/>
      <diagonal/>
    </border>
  </borders>
  <cellStyleXfs count="1">
    <xf numFmtId="0" fontId="0" fillId="0" borderId="0"/>
  </cellStyleXfs>
  <cellXfs count="3">
    <xf numFmtId="0" fontId="0" fillId="0" borderId="0" pivotButton="0" quotePrefix="0" xfId="0"/>
    <xf numFmtId="0" fontId="0" fillId="0" borderId="0" applyAlignment="1" pivotButton="0" quotePrefix="0" xfId="0">
      <alignment vertical="top" wrapText="1"/>
    </xf>
    <xf numFmtId="0" fontId="0"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O19"/>
  <sheetViews>
    <sheetView workbookViewId="0">
      <pane ySplit="1" topLeftCell="A2" activePane="bottomLeft" state="frozen"/>
      <selection pane="bottomLeft" activeCell="A1" sqref="A1"/>
    </sheetView>
  </sheetViews>
  <sheetFormatPr baseColWidth="8" defaultRowHeight="15"/>
  <cols>
    <col width="10" customWidth="1" min="1" max="1"/>
    <col width="22" customWidth="1" min="2" max="2"/>
    <col width="16" customWidth="1" min="3" max="3"/>
    <col width="18" customWidth="1" min="4" max="4"/>
    <col width="60" customWidth="1" min="5" max="5"/>
    <col width="60" customWidth="1" min="6" max="6"/>
    <col width="60" customWidth="1" min="7" max="7"/>
    <col width="60" customWidth="1" min="8" max="8"/>
    <col width="16" customWidth="1" min="9" max="9"/>
    <col width="60" customWidth="1" min="10" max="10"/>
    <col width="18" customWidth="1" min="11" max="11"/>
    <col width="14" customWidth="1" min="12" max="12"/>
    <col width="14" customWidth="1" min="13" max="13"/>
    <col width="14" customWidth="1" min="14" max="14"/>
    <col hidden="1" width="14" customWidth="1" min="15" max="15"/>
  </cols>
  <sheetData>
    <row r="1">
      <c r="A1" t="inlineStr">
        <is>
          <t>bug_id</t>
        </is>
      </c>
      <c r="B1" t="inlineStr">
        <is>
          <t>app_name</t>
        </is>
      </c>
      <c r="C1" t="inlineStr">
        <is>
          <t>agent_version</t>
        </is>
      </c>
      <c r="D1" t="inlineStr">
        <is>
          <t>description_level</t>
        </is>
      </c>
      <c r="E1" t="inlineStr">
        <is>
          <t>description_text</t>
        </is>
      </c>
      <c r="F1" t="inlineStr">
        <is>
          <t>full_bug_report</t>
        </is>
      </c>
      <c r="G1" t="inlineStr">
        <is>
          <t>s2r_gt</t>
        </is>
      </c>
      <c r="H1" t="inlineStr">
        <is>
          <t>agent_generated_steps</t>
        </is>
      </c>
      <c r="I1" t="inlineStr">
        <is>
          <t>LLM_evaluation</t>
        </is>
      </c>
      <c r="J1" t="inlineStr">
        <is>
          <t>Matched_GT_by_LLM</t>
        </is>
      </c>
      <c r="K1" t="inlineStr">
        <is>
          <t>human_evaluation</t>
        </is>
      </c>
      <c r="L1" t="inlineStr">
        <is>
          <t>Precision</t>
        </is>
      </c>
      <c r="M1" t="inlineStr">
        <is>
          <t>Recall</t>
        </is>
      </c>
      <c r="N1" t="inlineStr">
        <is>
          <t>F1</t>
        </is>
      </c>
      <c r="O1" t="inlineStr">
        <is>
          <t>GT Step Count</t>
        </is>
      </c>
    </row>
    <row r="2">
      <c r="A2" s="1" t="n">
        <v>10</v>
      </c>
      <c r="B2" s="1" t="inlineStr">
        <is>
          <t>Material Files</t>
        </is>
      </c>
      <c r="C2" s="1" t="inlineStr">
        <is>
          <t>bugscribe_mutli-candidate_transitions_and_screen_descriptions</t>
        </is>
      </c>
      <c r="D2" s="1" t="inlineStr">
        <is>
          <t>LC_LP</t>
        </is>
      </c>
      <c r="E2" s="1" t="inlineStr">
        <is>
          <t>It restarts on its own.</t>
        </is>
      </c>
      <c r="F2" s="1" t="inlineStr">
        <is>
          <t>Title: FTP server restarts on its own after being toggled and the app is dismissed from Recents
Observed Behavior: On the FTP server screen, if the user turns the FTP server on, turns it off, presses Back to leave the app, and dismisses the Files app from the Recents screen, the FTP server restarts on its own.
Expected Behavior: The FTP server should not restart on its own.</t>
        </is>
      </c>
      <c r="G2" s="1" t="inlineStr">
        <is>
          <t>1. Open app &lt;aa09f6aef3409759f67d672c9efcbd64d8f3b0ee61cf3e8d197f0539e34430d2&gt;
2. Click allow &lt;9253ef287211a96261d15d2522d1499f880b411f5e49851b98bae34f3403ab9d&gt;
3. Click the navigation drawer button, i.e., the menu option &lt;3abd760d81519f7d0b2fe5daa74c918b40f9496bef2bf776dd7b0d8e95a47b49&gt;
4. Click FTP server &lt;ed4ddd149d2da1bda9c6a957048313602988bce3f183bd199efeacece662aeec&gt;
5. Click the status toggle button (switch server on) &lt;8453ee6186ad267c55c0f443ad2d1644911453cf4f005a06837b415345db6be5 &gt;
6. Click the status toggle button (switch server off) &lt;5f369cd30bd1e5644d294c31e5ff58277cad40b2633f69cc4105944721df8b1b&gt;</t>
        </is>
      </c>
      <c r="H2" s="1" t="inlineStr">
        <is>
          <t>Open the Files app.</t>
        </is>
      </c>
      <c r="I2" s="1" t="inlineStr">
        <is>
          <t>CS</t>
        </is>
      </c>
      <c r="J2" s="1" t="inlineStr">
        <is>
          <t>Open app &lt;aa09f6aef3409759f67d672c9efcbd64d8f3b0ee61cf3e8d197f0539e34430d2&gt;</t>
        </is>
      </c>
      <c r="K2" s="1" t="inlineStr">
        <is>
          <t>CS</t>
        </is>
      </c>
      <c r="L2" s="1">
        <f>IFERROR(COUNTIF(K2:K9,"CS")/COUNTA(K2:K9),"")</f>
        <v/>
      </c>
      <c r="M2" s="1">
        <f>COUNTIF(K2:K9,"CS")/6</f>
        <v/>
      </c>
      <c r="N2" s="1">
        <f>IFERROR(2*(L2*M2)/(L2+M2),"")</f>
        <v/>
      </c>
      <c r="O2" s="1" t="n">
        <v>6</v>
      </c>
    </row>
    <row r="3">
      <c r="A3" s="1" t="inlineStr"/>
      <c r="B3" s="1" t="inlineStr"/>
      <c r="C3" s="1" t="inlineStr"/>
      <c r="D3" s="1" t="inlineStr"/>
      <c r="E3" s="1" t="inlineStr"/>
      <c r="F3" s="1" t="inlineStr"/>
      <c r="G3" s="1" t="inlineStr"/>
      <c r="H3" s="1" t="inlineStr">
        <is>
          <t>On the permission dialog, tap Allow.</t>
        </is>
      </c>
      <c r="I3" s="1" t="inlineStr">
        <is>
          <t>CS</t>
        </is>
      </c>
      <c r="J3" s="1" t="inlineStr">
        <is>
          <t>Click allow &lt;9253ef287211a96261d15d2522d1499f880b411f5e49851b98bae34f3403ab9d&gt;</t>
        </is>
      </c>
      <c r="K3" s="1" t="inlineStr">
        <is>
          <t>CS</t>
        </is>
      </c>
      <c r="L3" s="1" t="inlineStr"/>
      <c r="M3" s="1" t="inlineStr"/>
      <c r="N3" s="1" t="inlineStr"/>
      <c r="O3" s="1" t="inlineStr"/>
    </row>
    <row r="4">
      <c r="A4" s="1" t="inlineStr"/>
      <c r="B4" s="1" t="inlineStr"/>
      <c r="C4" s="1" t="inlineStr"/>
      <c r="D4" s="1" t="inlineStr"/>
      <c r="E4" s="1" t="inlineStr"/>
      <c r="F4" s="1" t="inlineStr"/>
      <c r="G4" s="1" t="inlineStr"/>
      <c r="H4" s="1" t="inlineStr">
        <is>
          <t>Tap the Navigate up button.</t>
        </is>
      </c>
      <c r="I4" s="1" t="inlineStr">
        <is>
          <t>CS</t>
        </is>
      </c>
      <c r="J4" s="1" t="inlineStr">
        <is>
          <t>Click the navigation drawer button, i.e., the menu option &lt;3abd760d81519f7d0b2fe5daa74c918b40f9496bef2bf776dd7b0d8e95a47b49&gt;</t>
        </is>
      </c>
      <c r="K4" s="1" t="inlineStr">
        <is>
          <t>CS</t>
        </is>
      </c>
      <c r="L4" s="1" t="inlineStr"/>
      <c r="M4" s="1" t="inlineStr"/>
      <c r="N4" s="1" t="inlineStr"/>
      <c r="O4" s="1" t="inlineStr"/>
    </row>
    <row r="5">
      <c r="A5" s="1" t="inlineStr"/>
      <c r="B5" s="1" t="inlineStr"/>
      <c r="C5" s="1" t="inlineStr"/>
      <c r="D5" s="1" t="inlineStr"/>
      <c r="E5" s="1" t="inlineStr"/>
      <c r="F5" s="1" t="inlineStr"/>
      <c r="G5" s="1" t="inlineStr"/>
      <c r="H5" s="1" t="inlineStr">
        <is>
          <t>Tap FTP server.</t>
        </is>
      </c>
      <c r="I5" s="1" t="inlineStr">
        <is>
          <t>CS</t>
        </is>
      </c>
      <c r="J5" s="1" t="inlineStr">
        <is>
          <t>Click FTP server &lt;ed4ddd149d2da1bda9c6a957048313602988bce3f183bd199efeacece662aeec&gt;</t>
        </is>
      </c>
      <c r="K5" s="1" t="inlineStr">
        <is>
          <t>CS</t>
        </is>
      </c>
      <c r="L5" s="1" t="inlineStr"/>
      <c r="M5" s="1" t="inlineStr"/>
      <c r="N5" s="1" t="inlineStr"/>
      <c r="O5" s="1" t="inlineStr"/>
    </row>
    <row r="6">
      <c r="A6" s="1" t="inlineStr"/>
      <c r="B6" s="1" t="inlineStr"/>
      <c r="C6" s="1" t="inlineStr"/>
      <c r="D6" s="1" t="inlineStr"/>
      <c r="E6" s="1" t="inlineStr"/>
      <c r="F6" s="1" t="inlineStr"/>
      <c r="G6" s="1" t="inlineStr"/>
      <c r="H6" s="1" t="inlineStr">
        <is>
          <t>On the FTP server screen, tap the switch to turn the FTP server on.</t>
        </is>
      </c>
      <c r="I6" s="1" t="inlineStr">
        <is>
          <t>CS</t>
        </is>
      </c>
      <c r="J6" s="1" t="inlineStr">
        <is>
          <t>Click the status toggle button (switch server on) &lt;8453ee6186ad267c55c0f443ad2d1644911453cf4f005a06837b415345db6be5 &gt;</t>
        </is>
      </c>
      <c r="K6" s="1" t="inlineStr">
        <is>
          <t>CS</t>
        </is>
      </c>
      <c r="L6" s="1" t="inlineStr"/>
      <c r="M6" s="1" t="inlineStr"/>
      <c r="N6" s="1" t="inlineStr"/>
      <c r="O6" s="1" t="inlineStr"/>
    </row>
    <row r="7">
      <c r="A7" s="1" t="inlineStr"/>
      <c r="B7" s="1" t="inlineStr"/>
      <c r="C7" s="1" t="inlineStr"/>
      <c r="D7" s="1" t="inlineStr"/>
      <c r="E7" s="1" t="inlineStr"/>
      <c r="F7" s="1" t="inlineStr"/>
      <c r="G7" s="1" t="inlineStr"/>
      <c r="H7" s="1" t="inlineStr">
        <is>
          <t>Tap the switch to turn the FTP server off.</t>
        </is>
      </c>
      <c r="I7" s="1" t="inlineStr">
        <is>
          <t>CS</t>
        </is>
      </c>
      <c r="J7" s="1" t="inlineStr">
        <is>
          <t>Click the status toggle button (switch server off) &lt;5f369cd30bd1e5644d294c31e5ff58277cad40b2633f69cc4105944721df8b1b&gt;</t>
        </is>
      </c>
      <c r="K7" s="1" t="inlineStr">
        <is>
          <t>CS</t>
        </is>
      </c>
      <c r="L7" s="1" t="inlineStr"/>
      <c r="M7" s="1" t="inlineStr"/>
      <c r="N7" s="1" t="inlineStr"/>
      <c r="O7" s="1" t="inlineStr"/>
    </row>
    <row r="8">
      <c r="A8" s="1" t="inlineStr"/>
      <c r="B8" s="1" t="inlineStr"/>
      <c r="C8" s="1" t="inlineStr"/>
      <c r="D8" s="1" t="inlineStr"/>
      <c r="E8" s="1" t="inlineStr"/>
      <c r="F8" s="1" t="inlineStr"/>
      <c r="G8" s="1" t="inlineStr"/>
      <c r="H8" s="1" t="inlineStr">
        <is>
          <t>Press Back to leave the app.</t>
        </is>
      </c>
      <c r="I8" s="1" t="inlineStr">
        <is>
          <t>ES</t>
        </is>
      </c>
      <c r="J8" s="1" t="inlineStr"/>
      <c r="K8" s="1" t="inlineStr">
        <is>
          <t>ES</t>
        </is>
      </c>
      <c r="L8" s="1" t="inlineStr"/>
      <c r="M8" s="1" t="inlineStr"/>
      <c r="N8" s="1" t="inlineStr"/>
      <c r="O8" s="1" t="inlineStr"/>
    </row>
    <row r="9">
      <c r="A9" s="1" t="inlineStr"/>
      <c r="B9" s="1" t="inlineStr"/>
      <c r="C9" s="1" t="inlineStr"/>
      <c r="D9" s="1" t="inlineStr"/>
      <c r="E9" s="1" t="inlineStr"/>
      <c r="F9" s="1" t="inlineStr"/>
      <c r="G9" s="1" t="inlineStr"/>
      <c r="H9" s="1" t="inlineStr">
        <is>
          <t>In the Recents screen, dismiss the Files app.</t>
        </is>
      </c>
      <c r="I9" s="1" t="inlineStr">
        <is>
          <t>ES</t>
        </is>
      </c>
      <c r="J9" s="1" t="inlineStr"/>
      <c r="K9" s="1" t="inlineStr">
        <is>
          <t>ES</t>
        </is>
      </c>
      <c r="L9" s="1" t="inlineStr"/>
      <c r="M9" s="1" t="inlineStr"/>
      <c r="N9" s="1" t="inlineStr"/>
      <c r="O9" s="1" t="inlineStr"/>
    </row>
    <row r="10">
      <c r="A10" s="2" t="inlineStr"/>
      <c r="B10" s="2" t="inlineStr"/>
      <c r="C10" s="2" t="inlineStr"/>
      <c r="D10" s="2" t="inlineStr"/>
      <c r="E10" s="2" t="inlineStr"/>
      <c r="F10" s="2" t="inlineStr"/>
      <c r="G10" s="2" t="inlineStr"/>
      <c r="H10" s="2" t="inlineStr"/>
      <c r="I10" s="2" t="inlineStr"/>
      <c r="J10" s="2" t="inlineStr"/>
      <c r="K10" s="2" t="inlineStr"/>
      <c r="L10" s="2" t="inlineStr"/>
      <c r="M10" s="2" t="inlineStr"/>
      <c r="N10" s="2" t="inlineStr"/>
      <c r="O10" s="2" t="inlineStr"/>
    </row>
    <row r="11">
      <c r="A11" s="1" t="n">
        <v>2</v>
      </c>
      <c r="B11" s="1" t="inlineStr">
        <is>
          <t>Family Finance</t>
        </is>
      </c>
      <c r="C11" s="1" t="inlineStr">
        <is>
          <t>bugscribe_mutli-candidate_transitions_and_screen_descriptions</t>
        </is>
      </c>
      <c r="D11" s="1" t="inlineStr">
        <is>
          <t>HC_HP</t>
        </is>
      </c>
      <c r="E11" s="1" t="inlineStr">
        <is>
          <t>On Display of Incomes by Articles pop-up of the Reports screen changing the report appearance from 'view values' to 'use percent values' causes the application to crash, but the appearance of the report should be changed to 'use percent values'. I took these steps: Open the app, tap Allow, select Report, choose Incomes By Articles or Expenses By Articles, tap View, check 'view values', check 'use percent values', and tap OK.</t>
        </is>
      </c>
      <c r="F11" s="1" t="inlineStr">
        <is>
          <t>Title: App crashes when enabling View values and Use percent values for the Incomes by Articles report and tapping OK
Observed Behavior: On the Display of Incomes by Articles pop-up of the Reports screen, if the user checks the View values checkbox, checks the Use percent values checkbox, and taps OK, the application crashes.
Expected Behavior: The appearance of the report should be changed to use percent values.</t>
        </is>
      </c>
      <c r="G11" s="1" t="inlineStr">
        <is>
          <t>1. Open app &lt;fa8baa4de2d1015dd5da60a38bcc25a725e918d25bafb6b4b8bafe8f727ccfcf&gt;
2. Click allow button &lt;8407e328c4a9d75304cf3edee19af6616ae654caca4e79229e0df0c827909816&gt;
3. Click Report &lt;9a4f389ec16dc06bc51519fd35159ab49c667d2cae3e0323df9bf08cd98bda88
4. Click Incomes By Articles or expenses by articles &lt;c010db1badf9deb0564b10c46916ad505c7d1acca0f840fdc12c4867c81990d0&gt;
5. Click View Button &lt;c7c181b4d07f85b6731edefa0c51eca8637b088e992c8d07e2349379db3cd413&gt;
6. Click view values checkbox &lt;dc01c666d81db01f9ceb751ff256033bcc27f75ab0951ef2f9eff49e39233d64&gt;
7. Click use percent values checkbox &lt;c3292f1abb084883da9f0bf06776dd33343b186505d53bedfbb8b83717e4b319&gt;
8. Click OK &lt;26c0ae2d76021672cf80c07928394773aec07f5be831f91ab09b5f7c2392b6aa&gt;</t>
        </is>
      </c>
      <c r="H11" s="1" t="inlineStr">
        <is>
          <t>Open the app. &lt;fa8baa4de2d1015dd5da60a38bcc25a725e918d25bafb6b4b8bafe8f727ccfcf&gt;</t>
        </is>
      </c>
      <c r="I11" s="1" t="inlineStr">
        <is>
          <t>CS</t>
        </is>
      </c>
      <c r="J11" s="1" t="inlineStr">
        <is>
          <t>Open app &lt;fa8baa4de2d1015dd5da60a38bcc25a725e918d25bafb6b4b8bafe8f727ccfcf&gt;</t>
        </is>
      </c>
      <c r="K11" s="1" t="inlineStr">
        <is>
          <t>CS</t>
        </is>
      </c>
      <c r="L11" s="1">
        <f>IFERROR(COUNTIF(K11:K19,"CS")/COUNTA(K11:K19),"")</f>
        <v/>
      </c>
      <c r="M11" s="1">
        <f>COUNTIF(K11:K19,"CS")/8</f>
        <v/>
      </c>
      <c r="N11" s="1">
        <f>IFERROR(2*(L11*M11)/(L11+M11),"")</f>
        <v/>
      </c>
      <c r="O11" s="1" t="n">
        <v>8</v>
      </c>
    </row>
    <row r="12">
      <c r="A12" s="1" t="inlineStr"/>
      <c r="B12" s="1" t="inlineStr"/>
      <c r="C12" s="1" t="inlineStr"/>
      <c r="D12" s="1" t="inlineStr"/>
      <c r="E12" s="1" t="inlineStr"/>
      <c r="F12" s="1" t="inlineStr"/>
      <c r="G12" s="1" t="inlineStr"/>
      <c r="H12" s="1" t="inlineStr">
        <is>
          <t>Tap Allow on the SMS permission dialog. &lt;8407e328c4a9d75304cf3edee19af6616ae654caca4e79229e0df0c827909816&gt;</t>
        </is>
      </c>
      <c r="I12" s="1" t="inlineStr">
        <is>
          <t>CS</t>
        </is>
      </c>
      <c r="J12" s="1" t="inlineStr">
        <is>
          <t>Click allow button &lt;8407e328c4a9d75304cf3edee19af6616ae654caca4e79229e0df0c827909816&gt;</t>
        </is>
      </c>
      <c r="K12" s="1" t="inlineStr">
        <is>
          <t>CS</t>
        </is>
      </c>
      <c r="L12" s="1" t="inlineStr"/>
      <c r="M12" s="1" t="inlineStr"/>
      <c r="N12" s="1" t="inlineStr"/>
      <c r="O12" s="1" t="inlineStr"/>
    </row>
    <row r="13">
      <c r="A13" s="1" t="inlineStr"/>
      <c r="B13" s="1" t="inlineStr"/>
      <c r="C13" s="1" t="inlineStr"/>
      <c r="D13" s="1" t="inlineStr"/>
      <c r="E13" s="1" t="inlineStr"/>
      <c r="F13" s="1" t="inlineStr"/>
      <c r="G13" s="1" t="inlineStr"/>
      <c r="H13" s="1" t="inlineStr">
        <is>
          <t>Tap Reports from the main screen. &lt;9a4f389ec16dc06bc51519fd35159ab49c667d2cae3e0323df9bf08cd98bda88&gt;</t>
        </is>
      </c>
      <c r="I13" s="1" t="inlineStr">
        <is>
          <t>CS</t>
        </is>
      </c>
      <c r="J13" s="1" t="inlineStr">
        <is>
          <t>Click Report &lt;9a4f389ec16dc06bc51519fd35159ab49c667d2cae3e0323df9bf08cd98bda88</t>
        </is>
      </c>
      <c r="K13" s="1" t="inlineStr">
        <is>
          <t>CS</t>
        </is>
      </c>
      <c r="L13" s="1" t="inlineStr"/>
      <c r="M13" s="1" t="inlineStr"/>
      <c r="N13" s="1" t="inlineStr"/>
      <c r="O13" s="1" t="inlineStr"/>
    </row>
    <row r="14">
      <c r="A14" s="1" t="inlineStr"/>
      <c r="B14" s="1" t="inlineStr"/>
      <c r="C14" s="1" t="inlineStr"/>
      <c r="D14" s="1" t="inlineStr"/>
      <c r="E14" s="1" t="inlineStr"/>
      <c r="F14" s="1" t="inlineStr"/>
      <c r="G14" s="1" t="inlineStr"/>
      <c r="H14" s="1" t="inlineStr">
        <is>
          <t>Open the Incomes by Articles tab. &lt;c010db1badf9deb0564b10c46916ad505c7d1acca0f840fdc12c4867c81990d0&gt;</t>
        </is>
      </c>
      <c r="I14" s="1" t="inlineStr">
        <is>
          <t>CS</t>
        </is>
      </c>
      <c r="J14" s="1" t="inlineStr">
        <is>
          <t>Click Incomes By Articles or expenses by articles &lt;c010db1badf9deb0564b10c46916ad505c7d1acca0f840fdc12c4867c81990d0&gt;</t>
        </is>
      </c>
      <c r="K14" s="1" t="inlineStr">
        <is>
          <t>CS</t>
        </is>
      </c>
      <c r="L14" s="1" t="inlineStr"/>
      <c r="M14" s="1" t="inlineStr"/>
      <c r="N14" s="1" t="inlineStr"/>
      <c r="O14" s="1" t="inlineStr"/>
    </row>
    <row r="15">
      <c r="A15" s="1" t="inlineStr"/>
      <c r="B15" s="1" t="inlineStr"/>
      <c r="C15" s="1" t="inlineStr"/>
      <c r="D15" s="1" t="inlineStr"/>
      <c r="E15" s="1" t="inlineStr"/>
      <c r="F15" s="1" t="inlineStr"/>
      <c r="G15" s="1" t="inlineStr"/>
      <c r="H15" s="1" t="inlineStr">
        <is>
          <t>Tap Display. &lt;c7c181b4d07f85b6731edefa0c51eca8637b088e992c8d07e2349379db3cd413&gt;</t>
        </is>
      </c>
      <c r="I15" s="1" t="inlineStr">
        <is>
          <t>CS</t>
        </is>
      </c>
      <c r="J15" s="1" t="inlineStr">
        <is>
          <t>Click View Button &lt;c7c181b4d07f85b6731edefa0c51eca8637b088e992c8d07e2349379db3cd413&gt;</t>
        </is>
      </c>
      <c r="K15" s="1" t="inlineStr">
        <is>
          <t>CS</t>
        </is>
      </c>
      <c r="L15" s="1" t="inlineStr"/>
      <c r="M15" s="1" t="inlineStr"/>
      <c r="N15" s="1" t="inlineStr"/>
      <c r="O15" s="1" t="inlineStr"/>
    </row>
    <row r="16">
      <c r="A16" s="1" t="inlineStr"/>
      <c r="B16" s="1" t="inlineStr"/>
      <c r="C16" s="1" t="inlineStr"/>
      <c r="D16" s="1" t="inlineStr"/>
      <c r="E16" s="1" t="inlineStr"/>
      <c r="F16" s="1" t="inlineStr"/>
      <c r="G16" s="1" t="inlineStr"/>
      <c r="H16" s="1" t="inlineStr">
        <is>
          <t>Check View values. &lt;dc01c666d81db01f9ceb751ff256033bcc27f75ab0951ef2f9eff49e39233d64&gt;</t>
        </is>
      </c>
      <c r="I16" s="1" t="inlineStr">
        <is>
          <t>CS</t>
        </is>
      </c>
      <c r="J16" s="1" t="inlineStr">
        <is>
          <t>Click view values checkbox &lt;dc01c666d81db01f9ceb751ff256033bcc27f75ab0951ef2f9eff49e39233d64&gt;</t>
        </is>
      </c>
      <c r="K16" s="1" t="inlineStr">
        <is>
          <t>CS</t>
        </is>
      </c>
      <c r="L16" s="1" t="inlineStr"/>
      <c r="M16" s="1" t="inlineStr"/>
      <c r="N16" s="1" t="inlineStr"/>
      <c r="O16" s="1" t="inlineStr"/>
    </row>
    <row r="17">
      <c r="A17" s="1" t="inlineStr"/>
      <c r="B17" s="1" t="inlineStr"/>
      <c r="C17" s="1" t="inlineStr"/>
      <c r="D17" s="1" t="inlineStr"/>
      <c r="E17" s="1" t="inlineStr"/>
      <c r="F17" s="1" t="inlineStr"/>
      <c r="G17" s="1" t="inlineStr"/>
      <c r="H17" s="1" t="inlineStr">
        <is>
          <t>Check Use percent values. &lt;c3292f1abb084883da9f0bf06776dd33343b186505d53bedfbb8b83717e4b319&gt;</t>
        </is>
      </c>
      <c r="I17" s="1" t="inlineStr">
        <is>
          <t>CS</t>
        </is>
      </c>
      <c r="J17" s="1" t="inlineStr">
        <is>
          <t>Click use percent values checkbox &lt;c3292f1abb084883da9f0bf06776dd33343b186505d53bedfbb8b83717e4b319&gt;</t>
        </is>
      </c>
      <c r="K17" s="1" t="inlineStr">
        <is>
          <t>CS</t>
        </is>
      </c>
      <c r="L17" s="1" t="inlineStr"/>
      <c r="M17" s="1" t="inlineStr"/>
      <c r="N17" s="1" t="inlineStr"/>
      <c r="O17" s="1" t="inlineStr"/>
    </row>
    <row r="18">
      <c r="A18" s="1" t="inlineStr"/>
      <c r="B18" s="1" t="inlineStr"/>
      <c r="C18" s="1" t="inlineStr"/>
      <c r="D18" s="1" t="inlineStr"/>
      <c r="E18" s="1" t="inlineStr"/>
      <c r="F18" s="1" t="inlineStr"/>
      <c r="G18" s="1" t="inlineStr"/>
      <c r="H18" s="1" t="inlineStr">
        <is>
          <t>Tap OK. &lt;ef26a526444b0c0827ef99ce6360670c18cb2ac563b206cf97bd84c9479fa5f6&gt;</t>
        </is>
      </c>
      <c r="I18" s="1" t="inlineStr">
        <is>
          <t>CS</t>
        </is>
      </c>
      <c r="J18" s="1" t="inlineStr">
        <is>
          <t>Click OK &lt;26c0ae2d76021672cf80c07928394773aec07f5be831f91ab09b5f7c2392b6aa&gt;</t>
        </is>
      </c>
      <c r="K18" s="1" t="inlineStr">
        <is>
          <t>CS</t>
        </is>
      </c>
      <c r="L18" s="1" t="inlineStr"/>
      <c r="M18" s="1" t="inlineStr"/>
      <c r="N18" s="1" t="inlineStr"/>
      <c r="O18" s="1" t="inlineStr"/>
    </row>
    <row r="19">
      <c r="A19" s="1" t="inlineStr"/>
      <c r="B19" s="1" t="inlineStr"/>
      <c r="C19" s="1" t="inlineStr"/>
      <c r="D19" s="1" t="inlineStr"/>
      <c r="E19" s="1" t="inlineStr"/>
      <c r="F19" s="1" t="inlineStr"/>
      <c r="G19" s="1" t="inlineStr"/>
      <c r="H19" s="1" t="inlineStr">
        <is>
          <t>If a crash dialog appears, tap OK. &lt;6aa06c426f17d83ac768c98cc6d31a987166d855462845d0b306e83f26fa76f9&gt;</t>
        </is>
      </c>
      <c r="I19" s="1" t="inlineStr">
        <is>
          <t>ES</t>
        </is>
      </c>
      <c r="J19" s="1" t="inlineStr"/>
      <c r="K19" s="1" t="inlineStr">
        <is>
          <t>ES</t>
        </is>
      </c>
      <c r="L19" s="1" t="inlineStr"/>
      <c r="M19" s="1" t="inlineStr"/>
      <c r="N19" s="1" t="inlineStr"/>
      <c r="O19" s="1"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4"/>
  <sheetViews>
    <sheetView workbookViewId="0">
      <pane ySplit="1" topLeftCell="A2" activePane="bottomLeft" state="frozen"/>
      <selection pane="bottomLeft" activeCell="A1" sqref="A1"/>
    </sheetView>
  </sheetViews>
  <sheetFormatPr baseColWidth="8" defaultRowHeight="15"/>
  <cols>
    <col width="10" customWidth="1" min="1" max="1"/>
    <col width="22" customWidth="1" min="2" max="2"/>
    <col width="16" customWidth="1" min="3" max="3"/>
    <col width="18" customWidth="1" min="4" max="4"/>
    <col width="60" customWidth="1" min="5" max="5"/>
    <col width="60" customWidth="1" min="6" max="6"/>
    <col width="60" customWidth="1" min="7" max="7"/>
    <col width="60" customWidth="1" min="8" max="8"/>
    <col width="20" customWidth="1" min="9" max="9"/>
    <col width="26" customWidth="1" min="10" max="10"/>
    <col width="26" customWidth="1" min="11" max="11"/>
    <col width="20" customWidth="1" min="12" max="12"/>
  </cols>
  <sheetData>
    <row r="1">
      <c r="A1" t="inlineStr">
        <is>
          <t>bug_id</t>
        </is>
      </c>
      <c r="B1" t="inlineStr">
        <is>
          <t>app_name</t>
        </is>
      </c>
      <c r="C1" t="inlineStr">
        <is>
          <t>agent_version</t>
        </is>
      </c>
      <c r="D1" t="inlineStr">
        <is>
          <t>description_level</t>
        </is>
      </c>
      <c r="E1" t="inlineStr">
        <is>
          <t>description_text</t>
        </is>
      </c>
      <c r="F1" t="inlineStr">
        <is>
          <t>full_generated_bug_report</t>
        </is>
      </c>
      <c r="G1" t="inlineStr">
        <is>
          <t>info_elements_gt</t>
        </is>
      </c>
      <c r="H1" t="inlineStr">
        <is>
          <t>agent_generated_info_elements</t>
        </is>
      </c>
      <c r="I1" t="inlineStr">
        <is>
          <t>buggy_behavior_grade</t>
        </is>
      </c>
      <c r="J1" t="inlineStr">
        <is>
          <t>triggering_gui_interactions_grade</t>
        </is>
      </c>
      <c r="K1" t="inlineStr">
        <is>
          <t>triggering_screen_reference_grade</t>
        </is>
      </c>
      <c r="L1" t="inlineStr">
        <is>
          <t>correct_behavior_grade</t>
        </is>
      </c>
    </row>
    <row r="2">
      <c r="A2" s="1" t="n">
        <v>10</v>
      </c>
      <c r="B2" s="1" t="inlineStr">
        <is>
          <t>Material Files</t>
        </is>
      </c>
      <c r="C2" s="1" t="inlineStr">
        <is>
          <t>bugscribe_mutli-candidate_transitions_and_screen_descriptions</t>
        </is>
      </c>
      <c r="D2" s="1" t="inlineStr">
        <is>
          <t>LC_LP</t>
        </is>
      </c>
      <c r="E2" s="1" t="inlineStr">
        <is>
          <t>It restarts on its own.</t>
        </is>
      </c>
      <c r="F2" s="1" t="inlineStr">
        <is>
          <t>Title: FTP server restarts on its own after being toggled and the app is dismissed from Recents
Observed Behavior: On the FTP server screen, if the user turns the FTP server on, turns it off, presses Back to leave the app, and dismisses the Files app from the Recents screen, the FTP server restarts on its own.
Expected Behavior: The FTP server should not restart on its own.</t>
        </is>
      </c>
      <c r="G2" s="1" t="inlineStr">
        <is>
          <t>Buggy Behavior: the server restarts automatically
Triggering GUI Interaction: stops the FTP server and then closes the app
Triggering Screen Reference: FTP server screen
Correct Behavior: The FTP server should remain stopped</t>
        </is>
      </c>
      <c r="H2" s="1" t="inlineStr">
        <is>
          <t>Buggy Behavior: the FTP server restarts on its own
Triggering GUI Interactions: turns the FTP server on, turns it off, presses Back to leave the app, and dismisses the Files app from the Recents screen
Triggering Screen Reference: On the FTP server screen
Correct Behavior: The FTP server should not restart on its own.</t>
        </is>
      </c>
      <c r="I2" s="1" t="inlineStr">
        <is>
          <t>Correct</t>
        </is>
      </c>
      <c r="J2" s="1" t="inlineStr">
        <is>
          <t>Incorrect</t>
        </is>
      </c>
      <c r="K2" s="1" t="inlineStr">
        <is>
          <t>Correct</t>
        </is>
      </c>
      <c r="L2" s="1" t="inlineStr">
        <is>
          <t>Correct</t>
        </is>
      </c>
    </row>
    <row r="3">
      <c r="A3" s="2" t="inlineStr"/>
      <c r="B3" s="2" t="inlineStr"/>
      <c r="C3" s="2" t="inlineStr"/>
      <c r="D3" s="2" t="inlineStr"/>
      <c r="E3" s="2" t="inlineStr"/>
      <c r="F3" s="2" t="inlineStr"/>
      <c r="G3" s="2" t="inlineStr"/>
      <c r="H3" s="2" t="inlineStr"/>
      <c r="I3" s="2" t="inlineStr"/>
      <c r="J3" s="2" t="inlineStr"/>
      <c r="K3" s="2" t="inlineStr"/>
      <c r="L3" s="2" t="inlineStr"/>
    </row>
    <row r="4">
      <c r="A4" s="1" t="n">
        <v>2</v>
      </c>
      <c r="B4" s="1" t="inlineStr">
        <is>
          <t>Family Finance</t>
        </is>
      </c>
      <c r="C4" s="1" t="inlineStr">
        <is>
          <t>bugscribe_mutli-candidate_transitions_and_screen_descriptions</t>
        </is>
      </c>
      <c r="D4" s="1" t="inlineStr">
        <is>
          <t>HC_HP</t>
        </is>
      </c>
      <c r="E4" s="1" t="inlineStr">
        <is>
          <t>On Display of Incomes by Articles pop-up of the Reports screen changing the report appearance from 'view values' to 'use percent values' causes the application to crash, but the appearance of the report should be changed to 'use percent values'. I took these steps: Open the app, tap Allow, select Report, choose Incomes By Articles or Expenses By Articles, tap View, check 'view values', check 'use percent values', and tap OK.</t>
        </is>
      </c>
      <c r="F4" s="1" t="inlineStr">
        <is>
          <t>Title: App crashes when enabling View values and Use percent values for the Incomes by Articles report and tapping OK
Observed Behavior: On the Display of Incomes by Articles pop-up of the Reports screen, if the user checks the View values checkbox, checks the Use percent values checkbox, and taps OK, the application crashes.
Expected Behavior: The appearance of the report should be changed to use percent values.</t>
        </is>
      </c>
      <c r="G4" s="1" t="inlineStr">
        <is>
          <t>Buggy Behavior: the application crashes
Triggering GUI Interaction: changes the appearance of the report from 'view values' to use percent values'
Triggering Screen Reference: Display of Incomes by Articles pop-up of the Reports screen
Correct Behavior: The appearance of the report should be changed to 'use percent values'</t>
        </is>
      </c>
      <c r="H4" s="1" t="inlineStr">
        <is>
          <t>Buggy Behavior: the application crashes
Triggering GUI Interactions: checks the View values checkbox, checks the Use percent values checkbox, and taps OK
Triggering Screen Reference: On the Display of Incomes by Articles pop-up of the Reports screen
Correct Behavior: The appearance of the report should be changed to use percent values.</t>
        </is>
      </c>
      <c r="I4" s="1" t="inlineStr">
        <is>
          <t>Correct</t>
        </is>
      </c>
      <c r="J4" s="1" t="inlineStr">
        <is>
          <t>Correct</t>
        </is>
      </c>
      <c r="K4" s="1" t="inlineStr">
        <is>
          <t>Correct</t>
        </is>
      </c>
      <c r="L4" s="1" t="inlineStr">
        <is>
          <t>Correct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2"/>
  <sheetViews>
    <sheetView workbookViewId="0">
      <pane ySplit="1" topLeftCell="A2" activePane="bottomLeft" state="frozen"/>
      <selection pane="bottomLeft" activeCell="A1" sqref="A1"/>
    </sheetView>
  </sheetViews>
  <sheetFormatPr baseColWidth="8" defaultRowHeight="15"/>
  <cols>
    <col width="18" customWidth="1" min="1" max="1"/>
    <col width="14" customWidth="1" min="2" max="2"/>
    <col width="14" customWidth="1" min="3" max="3"/>
    <col width="14" customWidth="1" min="4" max="4"/>
    <col width="22" customWidth="1" min="5" max="5"/>
    <col width="20" customWidth="1" min="6" max="6"/>
    <col width="18" customWidth="1" min="7" max="7"/>
    <col width="18" customWidth="1" min="8" max="8"/>
    <col width="20" customWidth="1" min="9" max="9"/>
    <col width="19" customWidth="1" min="10" max="10"/>
    <col width="18" customWidth="1" min="11" max="11"/>
    <col width="20" customWidth="1" min="12" max="12"/>
    <col width="34" customWidth="1" min="13" max="13"/>
    <col width="32" customWidth="1" min="14" max="14"/>
    <col width="26" customWidth="1" min="15" max="15"/>
  </cols>
  <sheetData>
    <row r="1">
      <c r="A1" t="inlineStr">
        <is>
          <t>agent_version</t>
        </is>
      </c>
      <c r="B1" t="inlineStr">
        <is>
          <t>s2r_cs_count</t>
        </is>
      </c>
      <c r="C1" t="inlineStr">
        <is>
          <t>s2r_ms_count</t>
        </is>
      </c>
      <c r="D1" t="inlineStr">
        <is>
          <t>s2r_es_count</t>
        </is>
      </c>
      <c r="E1" t="inlineStr">
        <is>
          <t>average_s2r_precision</t>
        </is>
      </c>
      <c r="F1" t="inlineStr">
        <is>
          <t>average_s2r_recall</t>
        </is>
      </c>
      <c r="G1" t="inlineStr">
        <is>
          <t>average_s2r_f1</t>
        </is>
      </c>
      <c r="H1" t="inlineStr">
        <is>
          <t>info_correct_count</t>
        </is>
      </c>
      <c r="I1" t="inlineStr">
        <is>
          <t>info_incomplete_count</t>
        </is>
      </c>
      <c r="J1" t="inlineStr">
        <is>
          <t>info_ambiguous_count</t>
        </is>
      </c>
      <c r="K1" t="inlineStr">
        <is>
          <t>info_missing_count</t>
        </is>
      </c>
      <c r="L1" t="inlineStr">
        <is>
          <t>info_incorrect_count</t>
        </is>
      </c>
      <c r="M1" t="inlineStr">
        <is>
          <t>average_total_tokens_consumed_per_conv</t>
        </is>
      </c>
      <c r="N1" t="inlineStr">
        <is>
          <t>average_conversation_time_in_seconds</t>
        </is>
      </c>
      <c r="O1" t="inlineStr">
        <is>
          <t>average_conversation_turns</t>
        </is>
      </c>
    </row>
    <row r="2">
      <c r="A2" t="inlineStr">
        <is>
          <t>bugscribe_mutli-candidate_transitions_and_screen_descriptions</t>
        </is>
      </c>
      <c r="B2">
        <f>COUNTIF('S2R Review'!$K:$K,"CS")</f>
        <v/>
      </c>
      <c r="C2">
        <f>SUM('S2R Review'!$O:$O)-B2</f>
        <v/>
      </c>
      <c r="D2">
        <f>COUNTIF('S2R Review'!$K:$K,"ES")</f>
        <v/>
      </c>
      <c r="E2">
        <f>IFERROR(SUM('S2R Review'!$L$2:$L$1048576)/COUNTIF('S2R Review'!$L$2:$L$1048576,"&lt;&gt;"),"")</f>
        <v/>
      </c>
      <c r="F2">
        <f>IFERROR(SUM('S2R Review'!$M$2:$M$1048576)/COUNTIF('S2R Review'!$M$2:$M$1048576,"&lt;&gt;"),"")</f>
        <v/>
      </c>
      <c r="G2">
        <f>IFERROR(SUM('S2R Review'!$N$2:$N$1048576)/COUNTIF('S2R Review'!$N$2:$N$1048576,"&lt;&gt;"),"")</f>
        <v/>
      </c>
      <c r="H2">
        <f>COUNTIF('Info Elements Review'!$I:$I,"Correct")+COUNTIF('Info Elements Review'!$J:$J,"Correct")+COUNTIF('Info Elements Review'!$K:$K,"Correct")+COUNTIF('Info Elements Review'!$L:$L,"Correct")</f>
        <v/>
      </c>
      <c r="I2">
        <f>COUNTIF('Info Elements Review'!$I:$I,"Incomplete")+COUNTIF('Info Elements Review'!$J:$J,"Incomplete")+COUNTIF('Info Elements Review'!$K:$K,"Incomplete")+COUNTIF('Info Elements Review'!$L:$L,"Incomplete")</f>
        <v/>
      </c>
      <c r="J2">
        <f>COUNTIF('Info Elements Review'!$I:$I,"Ambiguous")+COUNTIF('Info Elements Review'!$J:$J,"Ambiguous")+COUNTIF('Info Elements Review'!$K:$K,"Ambiguous")+COUNTIF('Info Elements Review'!$L:$L,"Ambiguous")</f>
        <v/>
      </c>
      <c r="K2">
        <f>COUNTIF('Info Elements Review'!$I:$I,"Missing")+COUNTIF('Info Elements Review'!$J:$J,"Missing")+COUNTIF('Info Elements Review'!$K:$K,"Missing")+COUNTIF('Info Elements Review'!$L:$L,"Missing")</f>
        <v/>
      </c>
      <c r="L2">
        <f>COUNTIF('Info Elements Review'!$I:$I,"Incorrect")+COUNTIF('Info Elements Review'!$J:$J,"Incorrect")+COUNTIF('Info Elements Review'!$K:$K,"Incorrect")+COUNTIF('Info Elements Review'!$L:$L,"Incorrect")</f>
        <v/>
      </c>
      <c r="M2" t="n">
        <v>155648</v>
      </c>
      <c r="N2" t="n">
        <v>204.5602267084996</v>
      </c>
      <c r="O2" t="n">
        <v>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2026-04-08T13:59:13Z</dcterms:created>
  <dcterms:modified xsi:type="dcterms:W3CDTF">2026-04-08T13:59:13Z</dcterms:modified>
</cp:coreProperties>
</file>