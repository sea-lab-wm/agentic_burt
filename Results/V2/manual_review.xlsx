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 name="Info Elements Review"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row>
    <row r="2">
      <c r="A2" s="1" t="n">
        <v>10</v>
      </c>
      <c r="B2" s="1" t="inlineStr">
        <is>
          <t>Material Files</t>
        </is>
      </c>
      <c r="C2" s="1" t="inlineStr">
        <is>
          <t>V2</t>
        </is>
      </c>
      <c r="D2" s="1" t="inlineStr">
        <is>
          <t>HC_LP</t>
        </is>
      </c>
      <c r="E2" s="1" t="inlineStr">
        <is>
          <t>On the FTP server screen, stopping it and closing the app makes the server restart, even though it should stay stopped.</t>
        </is>
      </c>
      <c r="F2" s="1" t="inlineStr">
        <is>
          <t>Title: FTP server restarts after being stopped when app is closed from Recents
Observed Behavior: On the FTP server screen, if the user toggles the Status switch to OFF (stop the FTP server), then presses the system Back button to leave the screen and dismisses the app from the Android Recents screen, the FTP server restarts (turns back on) even though it was stopped.
Expected Behavior: The FTP server should stay stopped (should not restart automatically) after stopping it and closing the app.</t>
        </is>
      </c>
      <c r="G2"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2" s="1" t="inlineStr">
        <is>
          <t>Open Material Files.</t>
        </is>
      </c>
      <c r="I2" s="1" t="inlineStr">
        <is>
          <t>CS</t>
        </is>
      </c>
      <c r="J2" s="1" t="inlineStr">
        <is>
          <t>Open app &lt;aa09f6aef3409759f67d672c9efcbd64d8f3b0ee61cf3e8d197f0539e34430d2&gt;</t>
        </is>
      </c>
      <c r="K2" s="1" t="inlineStr">
        <is>
          <t>CS</t>
        </is>
      </c>
      <c r="L2" s="1">
        <f>IFERROR(COUNTIF(K2:K9,"CS")/COUNTA(K2:K9),"")</f>
        <v/>
      </c>
      <c r="M2" s="1">
        <f>COUNTIF(K2:K9,"CS")/6</f>
        <v/>
      </c>
    </row>
    <row r="3">
      <c r="A3" s="1" t="inlineStr"/>
      <c r="B3" s="1" t="inlineStr"/>
      <c r="C3" s="1" t="inlineStr"/>
      <c r="D3" s="1" t="inlineStr"/>
      <c r="E3" s="1" t="inlineStr"/>
      <c r="F3" s="1" t="inlineStr"/>
      <c r="G3" s="1" t="inlineStr"/>
      <c r="H3" s="1" t="inlineStr">
        <is>
          <t>On the Android permission prompt, tap "Allow".</t>
        </is>
      </c>
      <c r="I3" s="1" t="inlineStr">
        <is>
          <t>CS</t>
        </is>
      </c>
      <c r="J3" s="1" t="inlineStr">
        <is>
          <t>Click allow &lt;9253ef287211a96261d15d2522d1499f880b411f5e49851b98bae34f3403ab9d&gt;</t>
        </is>
      </c>
      <c r="K3" s="1" t="inlineStr">
        <is>
          <t>CS</t>
        </is>
      </c>
      <c r="L3" s="1" t="inlineStr"/>
      <c r="M3" s="1" t="inlineStr"/>
    </row>
    <row r="4">
      <c r="A4" s="1" t="inlineStr"/>
      <c r="B4" s="1" t="inlineStr"/>
      <c r="C4" s="1" t="inlineStr"/>
      <c r="D4" s="1" t="inlineStr"/>
      <c r="E4" s="1" t="inlineStr"/>
      <c r="F4" s="1" t="inlineStr"/>
      <c r="G4" s="1" t="inlineStr"/>
      <c r="H4" s="1" t="inlineStr">
        <is>
          <t>In the file list screen, tap the "Navigate up" button.</t>
        </is>
      </c>
      <c r="I4" s="1" t="inlineStr">
        <is>
          <t>ES</t>
        </is>
      </c>
      <c r="J4" s="1" t="inlineStr"/>
      <c r="K4" s="1" t="inlineStr">
        <is>
          <t>ES</t>
        </is>
      </c>
      <c r="L4" s="1" t="inlineStr"/>
      <c r="M4" s="1" t="inlineStr"/>
    </row>
    <row r="5">
      <c r="A5" s="1" t="inlineStr"/>
      <c r="B5" s="1" t="inlineStr"/>
      <c r="C5" s="1" t="inlineStr"/>
      <c r="D5" s="1" t="inlineStr"/>
      <c r="E5" s="1" t="inlineStr"/>
      <c r="F5" s="1" t="inlineStr"/>
      <c r="G5" s="1" t="inlineStr"/>
      <c r="H5" s="1" t="inlineStr">
        <is>
          <t>From the navigation drawer/list, tap "FTP server".</t>
        </is>
      </c>
      <c r="I5" s="1" t="inlineStr">
        <is>
          <t>CS</t>
        </is>
      </c>
      <c r="J5" s="1" t="inlineStr">
        <is>
          <t>Click FTP server &lt;ed4ddd149d2da1bda9c6a957048313602988bce3f183bd199efeacece662aeec&gt;</t>
        </is>
      </c>
      <c r="K5" s="1" t="inlineStr">
        <is>
          <t>CS</t>
        </is>
      </c>
      <c r="L5" s="1" t="inlineStr"/>
      <c r="M5" s="1" t="inlineStr"/>
    </row>
    <row r="6">
      <c r="A6" s="1" t="inlineStr"/>
      <c r="B6" s="1" t="inlineStr"/>
      <c r="C6" s="1" t="inlineStr"/>
      <c r="D6" s="1" t="inlineStr"/>
      <c r="E6" s="1" t="inlineStr"/>
      <c r="F6" s="1" t="inlineStr"/>
      <c r="G6" s="1" t="inlineStr"/>
      <c r="H6" s="1" t="inlineStr">
        <is>
          <t>On the FTP server screen, tap the "Status" switch to turn it OFF (stop the server).</t>
        </is>
      </c>
      <c r="I6" s="1" t="inlineStr">
        <is>
          <t>CS</t>
        </is>
      </c>
      <c r="J6" s="1" t="inlineStr">
        <is>
          <t>Click the status toggle button (switch server off) &lt;5f369cd30bd1e5644d294c31e5ff58277cad40b2633f69cc4105944721df8b1b&gt;</t>
        </is>
      </c>
      <c r="K6" s="1" t="inlineStr">
        <is>
          <t>CS</t>
        </is>
      </c>
      <c r="L6" s="1" t="inlineStr"/>
      <c r="M6" s="1" t="inlineStr"/>
    </row>
    <row r="7">
      <c r="A7" s="1" t="inlineStr"/>
      <c r="B7" s="1" t="inlineStr"/>
      <c r="C7" s="1" t="inlineStr"/>
      <c r="D7" s="1" t="inlineStr"/>
      <c r="E7" s="1" t="inlineStr"/>
      <c r="F7" s="1" t="inlineStr"/>
      <c r="G7" s="1" t="inlineStr"/>
      <c r="H7" s="1" t="inlineStr">
        <is>
          <t>Press the system Back button to leave the FTP server screen.</t>
        </is>
      </c>
      <c r="I7" s="1" t="inlineStr">
        <is>
          <t>ES</t>
        </is>
      </c>
      <c r="J7" s="1" t="inlineStr"/>
      <c r="K7" s="1" t="inlineStr">
        <is>
          <t>ES</t>
        </is>
      </c>
      <c r="L7" s="1" t="inlineStr"/>
      <c r="M7" s="1" t="inlineStr"/>
    </row>
    <row r="8">
      <c r="A8" s="1" t="inlineStr"/>
      <c r="B8" s="1" t="inlineStr"/>
      <c r="C8" s="1" t="inlineStr"/>
      <c r="D8" s="1" t="inlineStr"/>
      <c r="E8" s="1" t="inlineStr"/>
      <c r="F8" s="1" t="inlineStr"/>
      <c r="G8" s="1" t="inlineStr"/>
      <c r="H8" s="1" t="inlineStr">
        <is>
          <t>In Android Recents, dismiss the Material Files app (swipe it away / tap the dismiss icon).</t>
        </is>
      </c>
      <c r="I8" s="1" t="inlineStr">
        <is>
          <t>ES</t>
        </is>
      </c>
      <c r="J8" s="1" t="inlineStr"/>
      <c r="K8" s="1" t="inlineStr">
        <is>
          <t>ES</t>
        </is>
      </c>
      <c r="L8" s="1" t="inlineStr"/>
      <c r="M8" s="1" t="inlineStr"/>
    </row>
    <row r="9">
      <c r="A9" s="1" t="inlineStr"/>
      <c r="B9" s="1" t="inlineStr"/>
      <c r="C9" s="1" t="inlineStr"/>
      <c r="D9" s="1" t="inlineStr"/>
      <c r="E9" s="1" t="inlineStr"/>
      <c r="F9" s="1" t="inlineStr"/>
      <c r="G9" s="1" t="inlineStr"/>
      <c r="H9" s="1" t="inlineStr">
        <is>
          <t>Observe that the FTP server restarts (turns back on) even though it was stopped.</t>
        </is>
      </c>
      <c r="I9" s="1" t="inlineStr">
        <is>
          <t>ES</t>
        </is>
      </c>
      <c r="J9" s="1" t="inlineStr"/>
      <c r="K9" s="1" t="inlineStr">
        <is>
          <t>ES</t>
        </is>
      </c>
      <c r="L9" s="1" t="inlineStr"/>
      <c r="M9" s="1"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1" t="n">
        <v>135</v>
      </c>
      <c r="B11" s="1" t="inlineStr">
        <is>
          <t>Wikimedia Commons</t>
        </is>
      </c>
      <c r="C11" s="1" t="inlineStr">
        <is>
          <t>V2</t>
        </is>
      </c>
      <c r="D11" s="1" t="inlineStr">
        <is>
          <t>HC_HP</t>
        </is>
      </c>
      <c r="E11"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11" s="1" t="inlineStr">
        <is>
          <t>Title: Category details "PARENT CATEGORIES" tab shows a blank page
Observed Behavior: On the CategoryDetailsActivity screen for a category, if the user taps the "PARENT CATEGORIES" tab, the app shows a blank page (no content displayed).
Expected Behavior: The app should display the parent categories of the current category after tapping the "PARENT CATEGORIES" tab.</t>
        </is>
      </c>
      <c r="G11"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11" s="1" t="inlineStr">
        <is>
          <t>Open the app.</t>
        </is>
      </c>
      <c r="I11" s="1" t="inlineStr">
        <is>
          <t>CS</t>
        </is>
      </c>
      <c r="J11" s="1" t="inlineStr">
        <is>
          <t>Open App &lt;8e8c7133a537849ea1f09bcc2625161404e90d5f93d33e01c0e90230c92a5a7a&gt;</t>
        </is>
      </c>
      <c r="K11" s="1" t="inlineStr">
        <is>
          <t>CS</t>
        </is>
      </c>
      <c r="L11" s="1">
        <f>IFERROR(COUNTIF(K11:K29,"CS")/COUNTA(K11:K29),"")</f>
        <v/>
      </c>
      <c r="M11" s="1">
        <f>COUNTIF(K11:K29,"CS")/15</f>
        <v/>
      </c>
    </row>
    <row r="12">
      <c r="A12" s="1" t="inlineStr"/>
      <c r="B12" s="1" t="inlineStr"/>
      <c r="C12" s="1" t="inlineStr"/>
      <c r="D12" s="1" t="inlineStr"/>
      <c r="E12" s="1" t="inlineStr"/>
      <c r="F12" s="1" t="inlineStr"/>
      <c r="G12" s="1" t="inlineStr"/>
      <c r="H12" s="1" t="inlineStr">
        <is>
          <t>Swipe left on the welcome/onboarding screen.</t>
        </is>
      </c>
      <c r="I12" s="1" t="inlineStr">
        <is>
          <t>CS</t>
        </is>
      </c>
      <c r="J12" s="1" t="inlineStr">
        <is>
          <t>Swipe Left &lt;b3d177434c01973aefd635e9b2c077d1ba46bf4e2a80da4ed89474511160b63d&gt;</t>
        </is>
      </c>
      <c r="K12" s="1" t="inlineStr">
        <is>
          <t>CS</t>
        </is>
      </c>
      <c r="L12" s="1" t="inlineStr"/>
      <c r="M12" s="1" t="inlineStr"/>
    </row>
    <row r="13">
      <c r="A13" s="1" t="inlineStr"/>
      <c r="B13" s="1" t="inlineStr"/>
      <c r="C13" s="1" t="inlineStr"/>
      <c r="D13" s="1" t="inlineStr"/>
      <c r="E13" s="1" t="inlineStr"/>
      <c r="F13" s="1" t="inlineStr"/>
      <c r="G13" s="1" t="inlineStr"/>
      <c r="H13" s="1" t="inlineStr">
        <is>
          <t>Swipe left again.</t>
        </is>
      </c>
      <c r="I13" s="1" t="inlineStr">
        <is>
          <t>CS</t>
        </is>
      </c>
      <c r="J13" s="1" t="inlineStr">
        <is>
          <t>Swipe Left &lt;e0f12adac56be76acb79d37d0e90aa329ca9de72ca3481f451a5311f141027c4&gt;</t>
        </is>
      </c>
      <c r="K13" s="1" t="inlineStr">
        <is>
          <t>CS</t>
        </is>
      </c>
      <c r="L13" s="1" t="inlineStr"/>
      <c r="M13" s="1" t="inlineStr"/>
    </row>
    <row r="14">
      <c r="A14" s="1" t="inlineStr"/>
      <c r="B14" s="1" t="inlineStr"/>
      <c r="C14" s="1" t="inlineStr"/>
      <c r="D14" s="1" t="inlineStr"/>
      <c r="E14" s="1" t="inlineStr"/>
      <c r="F14" s="1" t="inlineStr"/>
      <c r="G14" s="1" t="inlineStr"/>
      <c r="H14" s="1" t="inlineStr">
        <is>
          <t>Swipe left again.</t>
        </is>
      </c>
      <c r="I14" s="1" t="inlineStr">
        <is>
          <t>CS</t>
        </is>
      </c>
      <c r="J14" s="1" t="inlineStr">
        <is>
          <t>Swipe Left &lt;8816181fdd2f34a86b06a3bc7208d741eee74c5da62d980f09630d2cf47f6df1&gt;</t>
        </is>
      </c>
      <c r="K14" s="1" t="inlineStr">
        <is>
          <t>CS</t>
        </is>
      </c>
      <c r="L14" s="1" t="inlineStr"/>
      <c r="M14" s="1" t="inlineStr"/>
    </row>
    <row r="15">
      <c r="A15" s="1" t="inlineStr"/>
      <c r="B15" s="1" t="inlineStr"/>
      <c r="C15" s="1" t="inlineStr"/>
      <c r="D15" s="1" t="inlineStr"/>
      <c r="E15" s="1" t="inlineStr"/>
      <c r="F15" s="1" t="inlineStr"/>
      <c r="G15" s="1" t="inlineStr"/>
      <c r="H15" s="1" t="inlineStr">
        <is>
          <t>Swipe left again.</t>
        </is>
      </c>
      <c r="I15" s="1" t="inlineStr">
        <is>
          <t>CS</t>
        </is>
      </c>
      <c r="J15" s="1" t="inlineStr">
        <is>
          <t>Swipe Left &lt;b71f779a1f0963d53f1859ce1784a17f4a319592a660124b62c8f18a53cf46e8&gt;</t>
        </is>
      </c>
      <c r="K15" s="1" t="inlineStr">
        <is>
          <t>CS</t>
        </is>
      </c>
      <c r="L15" s="1" t="inlineStr"/>
      <c r="M15" s="1" t="inlineStr"/>
    </row>
    <row r="16">
      <c r="A16" s="1" t="inlineStr"/>
      <c r="B16" s="1" t="inlineStr"/>
      <c r="C16" s="1" t="inlineStr"/>
      <c r="D16" s="1" t="inlineStr"/>
      <c r="E16" s="1" t="inlineStr"/>
      <c r="F16" s="1" t="inlineStr"/>
      <c r="G16" s="1" t="inlineStr"/>
      <c r="H16" s="1" t="inlineStr">
        <is>
          <t>Tap "YES!" on the final onboarding screen.</t>
        </is>
      </c>
      <c r="I16" s="1" t="inlineStr">
        <is>
          <t>CS</t>
        </is>
      </c>
      <c r="J16" s="1" t="inlineStr">
        <is>
          <t>Click YES &lt;9637973e88b508b265333dbf56463d16981017c2c09b4c69c5b9902e347d39e5&gt;</t>
        </is>
      </c>
      <c r="K16" s="1" t="inlineStr">
        <is>
          <t>CS</t>
        </is>
      </c>
      <c r="L16" s="1" t="inlineStr"/>
      <c r="M16" s="1" t="inlineStr"/>
    </row>
    <row r="17">
      <c r="A17" s="1" t="inlineStr"/>
      <c r="B17" s="1" t="inlineStr"/>
      <c r="C17" s="1" t="inlineStr"/>
      <c r="D17" s="1" t="inlineStr"/>
      <c r="E17" s="1" t="inlineStr"/>
      <c r="F17" s="1" t="inlineStr"/>
      <c r="G17" s="1" t="inlineStr"/>
      <c r="H17" s="1" t="inlineStr">
        <is>
          <t>Open the navigation drawer (hamburger button).</t>
        </is>
      </c>
      <c r="I17" s="1" t="inlineStr">
        <is>
          <t>CS</t>
        </is>
      </c>
      <c r="J17" s="1" t="inlineStr">
        <is>
          <t>Click the navigation drawer button, i.e., the menu option &lt;1d89fc61d139df7152892234c2a3f5174669a9b3b57a90c88ff95b811528ce5e&gt;</t>
        </is>
      </c>
      <c r="K17" s="1" t="inlineStr">
        <is>
          <t>CS</t>
        </is>
      </c>
      <c r="L17" s="1" t="inlineStr"/>
      <c r="M17" s="1" t="inlineStr"/>
    </row>
    <row r="18">
      <c r="A18" s="1" t="inlineStr"/>
      <c r="B18" s="1" t="inlineStr"/>
      <c r="C18" s="1" t="inlineStr"/>
      <c r="D18" s="1" t="inlineStr"/>
      <c r="E18" s="1" t="inlineStr"/>
      <c r="F18" s="1" t="inlineStr"/>
      <c r="G18" s="1" t="inlineStr"/>
      <c r="H18" s="1" t="inlineStr">
        <is>
          <t>Tap "Bookmarks".</t>
        </is>
      </c>
      <c r="I18" s="1" t="inlineStr">
        <is>
          <t>ES</t>
        </is>
      </c>
      <c r="J18" s="1" t="inlineStr"/>
      <c r="K18" s="1" t="inlineStr">
        <is>
          <t>ES</t>
        </is>
      </c>
      <c r="L18" s="1" t="inlineStr"/>
      <c r="M18" s="1" t="inlineStr"/>
    </row>
    <row r="19">
      <c r="A19" s="1" t="inlineStr"/>
      <c r="B19" s="1" t="inlineStr"/>
      <c r="C19" s="1" t="inlineStr"/>
      <c r="D19" s="1" t="inlineStr"/>
      <c r="E19" s="1" t="inlineStr"/>
      <c r="F19" s="1" t="inlineStr"/>
      <c r="G19" s="1" t="inlineStr"/>
      <c r="H19" s="1" t="inlineStr">
        <is>
          <t>Tap the navigation drawer "Open" button.</t>
        </is>
      </c>
      <c r="I19" s="1" t="inlineStr">
        <is>
          <t>ES</t>
        </is>
      </c>
      <c r="J19" s="1" t="inlineStr"/>
      <c r="K19" s="1" t="inlineStr">
        <is>
          <t>ES</t>
        </is>
      </c>
      <c r="L19" s="1" t="inlineStr"/>
      <c r="M19" s="1" t="inlineStr"/>
    </row>
    <row r="20">
      <c r="A20" s="1" t="inlineStr"/>
      <c r="B20" s="1" t="inlineStr"/>
      <c r="C20" s="1" t="inlineStr"/>
      <c r="D20" s="1" t="inlineStr"/>
      <c r="E20" s="1" t="inlineStr"/>
      <c r="F20" s="1" t="inlineStr"/>
      <c r="G20" s="1" t="inlineStr"/>
      <c r="H20" s="1" t="inlineStr">
        <is>
          <t>In the navigation drawer, tap "Explore".</t>
        </is>
      </c>
      <c r="I20" s="1" t="inlineStr">
        <is>
          <t>CS</t>
        </is>
      </c>
      <c r="J20" s="1" t="inlineStr">
        <is>
          <t>Click Explore &lt;2cb54b6b2c319fadcb77770ddc6f08bc1620d2ea99af5e4315a0e04d97476e34&gt;</t>
        </is>
      </c>
      <c r="K20" s="1" t="inlineStr">
        <is>
          <t>CS</t>
        </is>
      </c>
      <c r="L20" s="1" t="inlineStr"/>
      <c r="M20" s="1" t="inlineStr"/>
    </row>
    <row r="21">
      <c r="A21" s="1" t="inlineStr"/>
      <c r="B21" s="1" t="inlineStr"/>
      <c r="C21" s="1" t="inlineStr"/>
      <c r="D21" s="1" t="inlineStr"/>
      <c r="E21" s="1" t="inlineStr"/>
      <c r="F21" s="1" t="inlineStr"/>
      <c r="G21" s="1" t="inlineStr"/>
      <c r="H21" s="1" t="inlineStr">
        <is>
          <t>From Explore (category images grid), tap a category image.</t>
        </is>
      </c>
      <c r="I21" s="1" t="inlineStr">
        <is>
          <t>CS</t>
        </is>
      </c>
      <c r="J21" s="1" t="inlineStr">
        <is>
          <t>Click a picture &lt;eeb2dcc5b038a5365fc5e3968862c3ae476f8c007955b49e9585b8a8b05bc0c1&gt;</t>
        </is>
      </c>
      <c r="K21" s="1" t="inlineStr">
        <is>
          <t>CS</t>
        </is>
      </c>
      <c r="L21" s="1" t="inlineStr"/>
      <c r="M21" s="1" t="inlineStr"/>
    </row>
    <row r="22">
      <c r="A22" s="1" t="inlineStr"/>
      <c r="B22" s="1" t="inlineStr"/>
      <c r="C22" s="1" t="inlineStr"/>
      <c r="D22" s="1" t="inlineStr"/>
      <c r="E22" s="1" t="inlineStr"/>
      <c r="F22" s="1" t="inlineStr"/>
      <c r="G22" s="1" t="inlineStr"/>
      <c r="H22" s="1" t="inlineStr">
        <is>
          <t>Swipe up.</t>
        </is>
      </c>
      <c r="I22" s="1" t="inlineStr">
        <is>
          <t>CS</t>
        </is>
      </c>
      <c r="J22" s="1" t="inlineStr">
        <is>
          <t>Swipe Up &lt;d84994fbe18eaf7d76f1dfe454496f07db5e6a0c2213452558c14661322567ac&gt;</t>
        </is>
      </c>
      <c r="K22" s="1" t="inlineStr">
        <is>
          <t>CS</t>
        </is>
      </c>
      <c r="L22" s="1" t="inlineStr"/>
      <c r="M22" s="1" t="inlineStr"/>
    </row>
    <row r="23">
      <c r="A23" s="1" t="inlineStr"/>
      <c r="B23" s="1" t="inlineStr"/>
      <c r="C23" s="1" t="inlineStr"/>
      <c r="D23" s="1" t="inlineStr"/>
      <c r="E23" s="1" t="inlineStr"/>
      <c r="F23" s="1" t="inlineStr"/>
      <c r="G23" s="1" t="inlineStr"/>
      <c r="H23" s="1" t="inlineStr">
        <is>
          <t>Tap a category image again.</t>
        </is>
      </c>
      <c r="I23" s="1" t="inlineStr">
        <is>
          <t>ES</t>
        </is>
      </c>
      <c r="J23" s="1" t="inlineStr"/>
      <c r="K23" s="1" t="inlineStr">
        <is>
          <t>ES</t>
        </is>
      </c>
      <c r="L23" s="1" t="inlineStr"/>
      <c r="M23" s="1" t="inlineStr"/>
    </row>
    <row r="24">
      <c r="A24" s="1" t="inlineStr"/>
      <c r="B24" s="1" t="inlineStr"/>
      <c r="C24" s="1" t="inlineStr"/>
      <c r="D24" s="1" t="inlineStr"/>
      <c r="E24" s="1" t="inlineStr"/>
      <c r="F24" s="1" t="inlineStr"/>
      <c r="G24" s="1" t="inlineStr"/>
      <c r="H24" s="1" t="inlineStr">
        <is>
          <t>Swipe up.</t>
        </is>
      </c>
      <c r="I24" s="1" t="inlineStr">
        <is>
          <t>CS</t>
        </is>
      </c>
      <c r="J24" s="1" t="inlineStr">
        <is>
          <t>Swipe Up &lt;44efd4db46c1a856f86f5f10423f5a596b37a4499b0d7f8dbc4036eba4edddf7&gt;</t>
        </is>
      </c>
      <c r="K24" s="1" t="inlineStr">
        <is>
          <t>CS</t>
        </is>
      </c>
      <c r="L24" s="1" t="inlineStr"/>
      <c r="M24" s="1" t="inlineStr"/>
    </row>
    <row r="25">
      <c r="A25" s="1" t="inlineStr"/>
      <c r="B25" s="1" t="inlineStr"/>
      <c r="C25" s="1" t="inlineStr"/>
      <c r="D25" s="1" t="inlineStr"/>
      <c r="E25" s="1" t="inlineStr"/>
      <c r="F25" s="1" t="inlineStr"/>
      <c r="G25" s="1" t="inlineStr"/>
      <c r="H25" s="1" t="inlineStr">
        <is>
          <t>Swipe up.</t>
        </is>
      </c>
      <c r="I25" s="1" t="inlineStr">
        <is>
          <t>ES</t>
        </is>
      </c>
      <c r="J25" s="1" t="inlineStr"/>
      <c r="K25" s="1" t="inlineStr">
        <is>
          <t>ES</t>
        </is>
      </c>
      <c r="L25" s="1" t="inlineStr"/>
      <c r="M25" s="1" t="inlineStr"/>
    </row>
    <row r="26">
      <c r="A26" s="1" t="inlineStr"/>
      <c r="B26" s="1" t="inlineStr"/>
      <c r="C26" s="1" t="inlineStr"/>
      <c r="D26" s="1" t="inlineStr"/>
      <c r="E26" s="1" t="inlineStr"/>
      <c r="F26" s="1" t="inlineStr"/>
      <c r="G26" s="1" t="inlineStr"/>
      <c r="H26" s="1" t="inlineStr">
        <is>
          <t>Tap a category image.</t>
        </is>
      </c>
      <c r="I26" s="1" t="inlineStr">
        <is>
          <t>ES</t>
        </is>
      </c>
      <c r="J26" s="1" t="inlineStr"/>
      <c r="K26" s="1" t="inlineStr">
        <is>
          <t>ES</t>
        </is>
      </c>
      <c r="L26" s="1" t="inlineStr"/>
      <c r="M26" s="1" t="inlineStr"/>
    </row>
    <row r="27">
      <c r="A27" s="1" t="inlineStr"/>
      <c r="B27" s="1" t="inlineStr"/>
      <c r="C27" s="1" t="inlineStr"/>
      <c r="D27" s="1" t="inlineStr"/>
      <c r="E27" s="1" t="inlineStr"/>
      <c r="F27" s="1" t="inlineStr"/>
      <c r="G27" s="1" t="inlineStr"/>
      <c r="H27" s="1" t="inlineStr">
        <is>
          <t>Swipe up.</t>
        </is>
      </c>
      <c r="I27" s="1" t="inlineStr">
        <is>
          <t>ES</t>
        </is>
      </c>
      <c r="J27" s="1" t="inlineStr"/>
      <c r="K27" s="1" t="inlineStr">
        <is>
          <t>ES</t>
        </is>
      </c>
      <c r="L27" s="1" t="inlineStr"/>
      <c r="M27" s="1" t="inlineStr"/>
    </row>
    <row r="28">
      <c r="A28" s="1" t="inlineStr"/>
      <c r="B28" s="1" t="inlineStr"/>
      <c r="C28" s="1" t="inlineStr"/>
      <c r="D28" s="1" t="inlineStr"/>
      <c r="E28" s="1" t="inlineStr"/>
      <c r="F28" s="1" t="inlineStr"/>
      <c r="G28" s="1" t="inlineStr"/>
      <c r="H28" s="1" t="inlineStr">
        <is>
          <t>Tap a category name under "Categories" (e.g., "Focus stacking images of insects") to open the category details screen.</t>
        </is>
      </c>
      <c r="I28" s="1" t="inlineStr">
        <is>
          <t>CS</t>
        </is>
      </c>
      <c r="J28" s="1" t="inlineStr">
        <is>
          <t>Click a category &lt;f855240a7c5488e1a1fd483c6fec3b99757ca2940f7ceba50517a42c5e6211dc&gt;</t>
        </is>
      </c>
      <c r="K28" s="1" t="inlineStr">
        <is>
          <t>CS</t>
        </is>
      </c>
      <c r="L28" s="1" t="inlineStr"/>
      <c r="M28" s="1" t="inlineStr"/>
    </row>
    <row r="29">
      <c r="A29" s="1" t="inlineStr"/>
      <c r="B29" s="1" t="inlineStr"/>
      <c r="C29" s="1" t="inlineStr"/>
      <c r="D29" s="1" t="inlineStr"/>
      <c r="E29" s="1" t="inlineStr"/>
      <c r="F29" s="1" t="inlineStr"/>
      <c r="G29" s="1" t="inlineStr"/>
      <c r="H29" s="1" t="inlineStr">
        <is>
          <t>Tap the "PARENT CATEGORIES" tab.</t>
        </is>
      </c>
      <c r="I29" s="1" t="inlineStr">
        <is>
          <t>CS</t>
        </is>
      </c>
      <c r="J29" s="1" t="inlineStr">
        <is>
          <t>Click parent Categories &lt;31951cb9f29b46f435d8f75ccd1b6f6cc6ead9febe61faa81dad6e547e91a68f&gt;</t>
        </is>
      </c>
      <c r="K29" s="1" t="inlineStr">
        <is>
          <t>CS</t>
        </is>
      </c>
      <c r="L29" s="1" t="inlineStr"/>
      <c r="M29" s="1"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row>
    <row r="31">
      <c r="A31" s="1" t="n">
        <v>2</v>
      </c>
      <c r="B31" s="1" t="inlineStr">
        <is>
          <t>Family Finance</t>
        </is>
      </c>
      <c r="C31" s="1" t="inlineStr">
        <is>
          <t>V2</t>
        </is>
      </c>
      <c r="D31" s="1" t="inlineStr">
        <is>
          <t>MC_MP</t>
        </is>
      </c>
      <c r="E31" s="1" t="inlineStr">
        <is>
          <t>Changing the report appearance from 'view values' to 'use percent values' results in the application crashing.</t>
        </is>
      </c>
      <c r="F31" s="1" t="inlineStr">
        <is>
          <t>Title: Crash when enabling “Use percent values” in Reports &gt; Incomes by Articles display options
Observed Behavior: On the Reports screen (Incomes by Articles tab), if the user opens the “Display” dialog and taps the “Use percent values” checkbox, the app crashes and shows a crash dialog/message: “Unfortunately, Family Finance has stopped.”
Expected Behavior: The view should switch from “view values” to “use percent values” without crashing.</t>
        </is>
      </c>
      <c r="G31"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31" s="1" t="inlineStr">
        <is>
          <t>Open the Family Finance app.</t>
        </is>
      </c>
      <c r="I31" s="1" t="inlineStr">
        <is>
          <t>CS</t>
        </is>
      </c>
      <c r="J31" s="1" t="inlineStr">
        <is>
          <t>Open app &lt;fa8baa4de2d1015dd5da60a38bcc25a725e918d25bafb6b4b8bafe8f727ccfcf&gt;</t>
        </is>
      </c>
      <c r="K31" s="1" t="inlineStr">
        <is>
          <t>CS</t>
        </is>
      </c>
      <c r="L31" s="1">
        <f>IFERROR(COUNTIF(K31:K34,"CS")/COUNTA(K31:K34),"")</f>
        <v/>
      </c>
      <c r="M31" s="1">
        <f>COUNTIF(K31:K34,"CS")/8</f>
        <v/>
      </c>
    </row>
    <row r="32">
      <c r="A32" s="1" t="inlineStr"/>
      <c r="B32" s="1" t="inlineStr"/>
      <c r="C32" s="1" t="inlineStr"/>
      <c r="D32" s="1" t="inlineStr"/>
      <c r="E32" s="1" t="inlineStr"/>
      <c r="F32" s="1" t="inlineStr"/>
      <c r="G32" s="1" t="inlineStr"/>
      <c r="H32" s="1" t="inlineStr">
        <is>
          <t>On the permissions prompt, tap “Allow”.</t>
        </is>
      </c>
      <c r="I32" s="1" t="inlineStr">
        <is>
          <t>CS</t>
        </is>
      </c>
      <c r="J32" s="1" t="inlineStr">
        <is>
          <t>Click allow button &lt;8407e328c4a9d75304cf3edee19af6616ae654caca4e79229e0df0c827909816&gt;</t>
        </is>
      </c>
      <c r="K32" s="1" t="inlineStr">
        <is>
          <t>CS</t>
        </is>
      </c>
      <c r="L32" s="1" t="inlineStr"/>
      <c r="M32" s="1" t="inlineStr"/>
    </row>
    <row r="33">
      <c r="A33" s="1" t="inlineStr"/>
      <c r="B33" s="1" t="inlineStr"/>
      <c r="C33" s="1" t="inlineStr"/>
      <c r="D33" s="1" t="inlineStr"/>
      <c r="E33" s="1" t="inlineStr"/>
      <c r="F33" s="1" t="inlineStr"/>
      <c r="G33" s="1" t="inlineStr"/>
      <c r="H33" s="1" t="inlineStr">
        <is>
          <t>On the Dashboard, tap “Reports”.</t>
        </is>
      </c>
      <c r="I33" s="1" t="inlineStr">
        <is>
          <t>CS</t>
        </is>
      </c>
      <c r="J33" s="1" t="inlineStr">
        <is>
          <t>Click Report &lt;9a4f389ec16dc06bc51519fd35159ab49c667d2cae3e0323df9bf08cd98bda88</t>
        </is>
      </c>
      <c r="K33" s="1" t="inlineStr">
        <is>
          <t>CS</t>
        </is>
      </c>
      <c r="L33" s="1" t="inlineStr"/>
      <c r="M33" s="1" t="inlineStr"/>
    </row>
    <row r="34">
      <c r="A34" s="1" t="inlineStr"/>
      <c r="B34" s="1" t="inlineStr"/>
      <c r="C34" s="1" t="inlineStr"/>
      <c r="D34" s="1" t="inlineStr"/>
      <c r="E34" s="1" t="inlineStr"/>
      <c r="F34" s="1" t="inlineStr"/>
      <c r="G34" s="1" t="inlineStr"/>
      <c r="H34" s="1" t="inlineStr">
        <is>
          <t>In Reports, switch to the “Incomes by Articles” tab.</t>
        </is>
      </c>
      <c r="I34" s="1" t="inlineStr">
        <is>
          <t>CS</t>
        </is>
      </c>
      <c r="J34" s="1" t="inlineStr">
        <is>
          <t>Click Incomes By Articles or expenses by articles &lt;c010db1badf9deb0564b10c46916ad505c7d1acca0f840fdc12c4867c81990d0&gt;</t>
        </is>
      </c>
      <c r="K34" s="1" t="inlineStr">
        <is>
          <t>CS</t>
        </is>
      </c>
      <c r="L34" s="1" t="inlineStr"/>
      <c r="M34"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10</v>
      </c>
      <c r="B2" s="1" t="inlineStr">
        <is>
          <t>Material Files</t>
        </is>
      </c>
      <c r="C2" s="1" t="inlineStr">
        <is>
          <t>V2</t>
        </is>
      </c>
      <c r="D2" s="1" t="inlineStr">
        <is>
          <t>HC_LP</t>
        </is>
      </c>
      <c r="E2" s="1" t="inlineStr">
        <is>
          <t>On the FTP server screen, stopping it and closing the app makes the server restart, even though it should stay stopped.</t>
        </is>
      </c>
      <c r="F2" s="1" t="inlineStr">
        <is>
          <t>Title: FTP server restarts after being stopped when app is closed from Recents
Observed Behavior: On the FTP server screen, if the user toggles the Status switch to OFF (stop the FTP server), then presses the system Back button to leave the screen and dismisses the app from the Android Recents screen, the FTP server restarts (turns back on) even though it was stopped.
Expected Behavior: The FTP server should stay stopped (should not restart automatically) after stopping it and closing the app.</t>
        </is>
      </c>
      <c r="G2" s="1" t="inlineStr">
        <is>
          <t>Buggy Behavior: the server restarts automatically
Triggering GUI Interaction: stops the FTP server and then closes the app
Triggering Screen Reference: FTP server screen
Correct Behavior: The FTP server should remain stopped</t>
        </is>
      </c>
      <c r="H2" s="1" t="inlineStr">
        <is>
          <t>Buggy Behavior: the FTP server restarts (turns back on) even though it was stopped
Triggering GUI Interactions: the user toggles the Status switch to OFF (stop the FTP server), then presses the system Back button to leave the screen and dismisses the app from the Android Recents screen
Triggering Screen Reference: On the FTP server screen
Correct Behavior: The FTP server should stay stopped (should not restart automatically) after stopping it and closing the app.</t>
        </is>
      </c>
      <c r="I2" s="1" t="inlineStr">
        <is>
          <t>Correct</t>
        </is>
      </c>
      <c r="J2" s="1" t="inlineStr">
        <is>
          <t>Correct</t>
        </is>
      </c>
      <c r="K2" s="1" t="inlineStr">
        <is>
          <t>Correct</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135</v>
      </c>
      <c r="B4" s="1" t="inlineStr">
        <is>
          <t>Wikimedia Commons</t>
        </is>
      </c>
      <c r="C4" s="1" t="inlineStr">
        <is>
          <t>V2</t>
        </is>
      </c>
      <c r="D4" s="1" t="inlineStr">
        <is>
          <t>HC_HP</t>
        </is>
      </c>
      <c r="E4"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4" s="1" t="inlineStr">
        <is>
          <t>Title: Category details "PARENT CATEGORIES" tab shows a blank page
Observed Behavior: On the CategoryDetailsActivity screen for a category, if the user taps the "PARENT CATEGORIES" tab, the app shows a blank page (no content displayed).
Expected Behavior: The app should display the parent categories of the current category after tapping the "PARENT CATEGORIES" tab.</t>
        </is>
      </c>
      <c r="G4" s="1" t="inlineStr">
        <is>
          <t>Buggy Behavior: see a blank page
Triggering GUI Interaction: clicks the Parent Categories tab
Triggering Screen Reference: Category screen, Parent Categories tab
Correct Behavior: The Parent Categories of the current category should be displayed</t>
        </is>
      </c>
      <c r="H4" s="1" t="inlineStr">
        <is>
          <t>Buggy Behavior: the app shows a blank page (no content displayed).
Triggering GUI Interactions: the user taps the "PARENT CATEGORIES" tab
Triggering Screen Reference: On the CategoryDetailsActivity screen for a category
Correct Behavior: The app should display the parent categories of the current category after tapping the "PARENT CATEGORIES" tab.</t>
        </is>
      </c>
      <c r="I4" s="1" t="inlineStr">
        <is>
          <t>Correct</t>
        </is>
      </c>
      <c r="J4" s="1" t="inlineStr">
        <is>
          <t>Correct</t>
        </is>
      </c>
      <c r="K4" s="1" t="inlineStr">
        <is>
          <t>Correct</t>
        </is>
      </c>
      <c r="L4" s="1" t="inlineStr">
        <is>
          <t>Correct</t>
        </is>
      </c>
    </row>
    <row r="5">
      <c r="A5" s="2" t="inlineStr"/>
      <c r="B5" s="2" t="inlineStr"/>
      <c r="C5" s="2" t="inlineStr"/>
      <c r="D5" s="2" t="inlineStr"/>
      <c r="E5" s="2" t="inlineStr"/>
      <c r="F5" s="2" t="inlineStr"/>
      <c r="G5" s="2" t="inlineStr"/>
      <c r="H5" s="2" t="inlineStr"/>
      <c r="I5" s="2" t="inlineStr"/>
      <c r="J5" s="2" t="inlineStr"/>
      <c r="K5" s="2" t="inlineStr"/>
      <c r="L5" s="2" t="inlineStr"/>
    </row>
    <row r="6">
      <c r="A6" s="1" t="n">
        <v>2</v>
      </c>
      <c r="B6" s="1" t="inlineStr">
        <is>
          <t>Family Finance</t>
        </is>
      </c>
      <c r="C6" s="1" t="inlineStr">
        <is>
          <t>V2</t>
        </is>
      </c>
      <c r="D6" s="1" t="inlineStr">
        <is>
          <t>MC_MP</t>
        </is>
      </c>
      <c r="E6" s="1" t="inlineStr">
        <is>
          <t>Changing the report appearance from 'view values' to 'use percent values' results in the application crashing.</t>
        </is>
      </c>
      <c r="F6" s="1" t="inlineStr">
        <is>
          <t>Title: Crash when enabling “Use percent values” in Reports &gt; Incomes by Articles display options
Observed Behavior: On the Reports screen (Incomes by Articles tab), if the user opens the “Display” dialog and taps the “Use percent values” checkbox, the app crashes and shows a crash dialog/message: “Unfortunately, Family Finance has stopped.”
Expected Behavior: The view should switch from “view values” to “use percent values” without crashing.</t>
        </is>
      </c>
      <c r="G6"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6" s="1" t="inlineStr">
        <is>
          <t>Buggy Behavior: the app crashes and shows a crash dialog/message: “Unfortunately, Family Finance has stopped.”
Triggering GUI Interactions: opens the “Display” dialog and taps the “Use percent values” checkbox
Triggering Screen Reference: On the Reports screen (Incomes by Articles tab)
Correct Behavior: The view should switch from “view values” to “use percent values” without crashing.</t>
        </is>
      </c>
      <c r="I6" s="1" t="inlineStr">
        <is>
          <t>Correct</t>
        </is>
      </c>
      <c r="J6" s="1" t="inlineStr">
        <is>
          <t>Correct</t>
        </is>
      </c>
      <c r="K6" s="1" t="inlineStr">
        <is>
          <t>Incomplete</t>
        </is>
      </c>
      <c r="L6" s="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2026-04-07T18:14:56Z</dcterms:created>
  <dcterms:modified xsi:type="dcterms:W3CDTF">2026-04-07T18:14:56Z</dcterms:modified>
</cp:coreProperties>
</file>