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2R Review" sheetId="1" state="visible" r:id="rId1"/>
    <sheet name="Info Elements Review"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8" customWidth="1" min="4" max="4"/>
    <col width="60" customWidth="1" min="5" max="5"/>
    <col width="60" customWidth="1" min="6" max="6"/>
    <col width="60" customWidth="1" min="7" max="7"/>
    <col width="60" customWidth="1" min="8" max="8"/>
    <col width="16" customWidth="1" min="9" max="9"/>
    <col width="60" customWidth="1" min="10" max="10"/>
    <col width="18" customWidth="1" min="11" max="11"/>
    <col width="14" customWidth="1" min="12" max="12"/>
    <col width="14" customWidth="1" min="13" max="13"/>
    <col width="14" customWidth="1" min="14" max="14"/>
    <col hidden="1" width="14" customWidth="1" min="15" max="15"/>
  </cols>
  <sheetData>
    <row r="1">
      <c r="A1" t="inlineStr">
        <is>
          <t>bug_id</t>
        </is>
      </c>
      <c r="B1" t="inlineStr">
        <is>
          <t>app_name</t>
        </is>
      </c>
      <c r="C1" t="inlineStr">
        <is>
          <t>agent_version</t>
        </is>
      </c>
      <c r="D1" t="inlineStr">
        <is>
          <t>description_level</t>
        </is>
      </c>
      <c r="E1" t="inlineStr">
        <is>
          <t>description_text</t>
        </is>
      </c>
      <c r="F1" t="inlineStr">
        <is>
          <t>full_bug_report</t>
        </is>
      </c>
      <c r="G1" t="inlineStr">
        <is>
          <t>s2r_gt</t>
        </is>
      </c>
      <c r="H1" t="inlineStr">
        <is>
          <t>agent_generated_steps</t>
        </is>
      </c>
      <c r="I1" t="inlineStr">
        <is>
          <t>LLM_evaluation</t>
        </is>
      </c>
      <c r="J1" t="inlineStr">
        <is>
          <t>Matched_GT_by_LLM</t>
        </is>
      </c>
      <c r="K1" t="inlineStr">
        <is>
          <t>human_evaluation</t>
        </is>
      </c>
      <c r="L1" t="inlineStr">
        <is>
          <t>Precision</t>
        </is>
      </c>
      <c r="M1" t="inlineStr">
        <is>
          <t>Recall</t>
        </is>
      </c>
      <c r="N1" t="inlineStr">
        <is>
          <t>F1</t>
        </is>
      </c>
      <c r="O1" t="inlineStr">
        <is>
          <t>GT Step Count</t>
        </is>
      </c>
    </row>
    <row r="2">
      <c r="A2" s="1" t="n">
        <v>135</v>
      </c>
      <c r="B2" s="1" t="inlineStr">
        <is>
          <t>Wikimedia Commons</t>
        </is>
      </c>
      <c r="C2" s="1" t="inlineStr">
        <is>
          <t>bugscribe_mutli-candidate_transitions_and_screen_descriptions</t>
        </is>
      </c>
      <c r="D2" s="1" t="inlineStr">
        <is>
          <t>HC_HP</t>
        </is>
      </c>
      <c r="E2" s="1" t="inlineStr">
        <is>
          <t>Open App, swipe left four times, tap YES, tap Skip, tap YES, open the navigation drawer, select Explore, tap a picture, swipe up twice, tap a category, and tap Parent Categories to reach the Category screen in the Parent Categories tab; clicking the Parent Categories tab results in a blank page, but the Parent Categories of the current category should be displayed.</t>
        </is>
      </c>
      <c r="F2" s="1" t="inlineStr">
        <is>
          <t>Title: Parent Categories tab opens a blank page on the category details screen
Observed Behavior: On the category details screen, if the user taps the Parent Categories tab, a blank page is shown.
Expected Behavior: The Parent Categories of the current category should be displayed.</t>
        </is>
      </c>
      <c r="G2" s="1" t="inlineStr">
        <is>
          <t>1. Open App &lt;8e8c7133a537849ea1f09bcc2625161404e90d5f93d33e01c0e90230c92a5a7a&gt;
2. Swipe Left &lt;b3d177434c01973aefd635e9b2c077d1ba46bf4e2a80da4ed89474511160b63d&gt;
3. Swipe Left &lt;e0f12adac56be76acb79d37d0e90aa329ca9de72ca3481f451a5311f141027c4&gt;
4. Swipe Left &lt;8816181fdd2f34a86b06a3bc7208d741eee74c5da62d980f09630d2cf47f6df1&gt;
5. Swipe Left &lt;b71f779a1f0963d53f1859ce1784a17f4a319592a660124b62c8f18a53cf46e8&gt;
6. Click YES &lt;9637973e88b508b265333dbf56463d16981017c2c09b4c69c5b9902e347d39e5&gt;
7. Click Skip &lt;bb009cd969fdfffc3f5842081f292334289f80d5b8fc399d1fce7ec4972173c4&gt;
8. Click YES &lt;a15358162dfdc9d6068f688c1a95276f63e1788b93f9311047afa58f7e695b0b&gt;
9. Click the navigation drawer button, i.e., the menu option &lt;1d89fc61d139df7152892234c2a3f5174669a9b3b57a90c88ff95b811528ce5e&gt;
10. Click Explore &lt;2cb54b6b2c319fadcb77770ddc6f08bc1620d2ea99af5e4315a0e04d97476e34&gt;
11. Click a picture &lt;eeb2dcc5b038a5365fc5e3968862c3ae476f8c007955b49e9585b8a8b05bc0c1&gt;
12. Swipe Up &lt;d84994fbe18eaf7d76f1dfe454496f07db5e6a0c2213452558c14661322567ac&gt;
13. Swipe Up &lt;44efd4db46c1a856f86f5f10423f5a596b37a4499b0d7f8dbc4036eba4edddf7&gt;
14. Click a category &lt;f855240a7c5488e1a1fd483c6fec3b99757ca2940f7ceba50517a42c5e6211dc&gt;
15. Click parent Categories &lt;31951cb9f29b46f435d8f75ccd1b6f6cc6ead9febe61faa81dad6e547e91a68f&gt;</t>
        </is>
      </c>
      <c r="H2" s="1" t="inlineStr">
        <is>
          <t>Open the app. &lt;8e8c7133a537849ea1f09bcc2625161404e90d5f93d33e01c0e90230c92a5a7a&gt;</t>
        </is>
      </c>
      <c r="I2" s="1" t="inlineStr">
        <is>
          <t>CS</t>
        </is>
      </c>
      <c r="J2" s="1" t="inlineStr">
        <is>
          <t>Open App &lt;8e8c7133a537849ea1f09bcc2625161404e90d5f93d33e01c0e90230c92a5a7a&gt;</t>
        </is>
      </c>
      <c r="K2" s="1" t="inlineStr">
        <is>
          <t>CS</t>
        </is>
      </c>
      <c r="L2" s="1">
        <f>IFERROR(COUNTIF(K2:K16,"CS")/COUNTA(K2:K16),"")</f>
        <v/>
      </c>
      <c r="M2" s="1">
        <f>COUNTIF(K2:K16,"CS")/15</f>
        <v/>
      </c>
      <c r="N2" s="1">
        <f>IFERROR(2*(L2*M2)/(L2+M2),"")</f>
        <v/>
      </c>
      <c r="O2" s="1" t="n">
        <v>15</v>
      </c>
    </row>
    <row r="3">
      <c r="A3" s="1" t="inlineStr"/>
      <c r="B3" s="1" t="inlineStr"/>
      <c r="C3" s="1" t="inlineStr"/>
      <c r="D3" s="1" t="inlineStr"/>
      <c r="E3" s="1" t="inlineStr"/>
      <c r="F3" s="1" t="inlineStr"/>
      <c r="G3" s="1" t="inlineStr"/>
      <c r="H3" s="1" t="inlineStr">
        <is>
          <t>Swipe left on the welcome/tutorial screen. &lt;b3d177434c01973aefd635e9b2c077d1ba46bf4e2a80da4ed89474511160b63d&gt;</t>
        </is>
      </c>
      <c r="I3" s="1" t="inlineStr">
        <is>
          <t>CS</t>
        </is>
      </c>
      <c r="J3" s="1" t="inlineStr">
        <is>
          <t>Swipe Left &lt;b3d177434c01973aefd635e9b2c077d1ba46bf4e2a80da4ed89474511160b63d&gt;</t>
        </is>
      </c>
      <c r="K3" s="1" t="inlineStr">
        <is>
          <t>CS</t>
        </is>
      </c>
      <c r="L3" s="1" t="inlineStr"/>
      <c r="M3" s="1" t="inlineStr"/>
      <c r="N3" s="1" t="inlineStr"/>
      <c r="O3" s="1" t="inlineStr"/>
    </row>
    <row r="4">
      <c r="A4" s="1" t="inlineStr"/>
      <c r="B4" s="1" t="inlineStr"/>
      <c r="C4" s="1" t="inlineStr"/>
      <c r="D4" s="1" t="inlineStr"/>
      <c r="E4" s="1" t="inlineStr"/>
      <c r="F4" s="1" t="inlineStr"/>
      <c r="G4" s="1" t="inlineStr"/>
      <c r="H4" s="1" t="inlineStr">
        <is>
          <t>Swipe left again on the welcome/tutorial screen. &lt;e0f12adac56be76acb79d37d0e90aa329ca9de72ca3481f451a5311f141027c4&gt;</t>
        </is>
      </c>
      <c r="I4" s="1" t="inlineStr">
        <is>
          <t>CS</t>
        </is>
      </c>
      <c r="J4" s="1" t="inlineStr">
        <is>
          <t>Swipe Left &lt;e0f12adac56be76acb79d37d0e90aa329ca9de72ca3481f451a5311f141027c4&gt;</t>
        </is>
      </c>
      <c r="K4" s="1" t="inlineStr">
        <is>
          <t>CS</t>
        </is>
      </c>
      <c r="L4" s="1" t="inlineStr"/>
      <c r="M4" s="1" t="inlineStr"/>
      <c r="N4" s="1" t="inlineStr"/>
      <c r="O4" s="1" t="inlineStr"/>
    </row>
    <row r="5">
      <c r="A5" s="1" t="inlineStr"/>
      <c r="B5" s="1" t="inlineStr"/>
      <c r="C5" s="1" t="inlineStr"/>
      <c r="D5" s="1" t="inlineStr"/>
      <c r="E5" s="1" t="inlineStr"/>
      <c r="F5" s="1" t="inlineStr"/>
      <c r="G5" s="1" t="inlineStr"/>
      <c r="H5" s="1" t="inlineStr">
        <is>
          <t>Swipe left a third time on the welcome/tutorial screen. &lt;8816181fdd2f34a86b06a3bc7208d741eee74c5da62d980f09630d2cf47f6df1&gt;</t>
        </is>
      </c>
      <c r="I5" s="1" t="inlineStr">
        <is>
          <t>CS</t>
        </is>
      </c>
      <c r="J5" s="1" t="inlineStr">
        <is>
          <t>Swipe Left &lt;8816181fdd2f34a86b06a3bc7208d741eee74c5da62d980f09630d2cf47f6df1&gt;</t>
        </is>
      </c>
      <c r="K5" s="1" t="inlineStr">
        <is>
          <t>CS</t>
        </is>
      </c>
      <c r="L5" s="1" t="inlineStr"/>
      <c r="M5" s="1" t="inlineStr"/>
      <c r="N5" s="1" t="inlineStr"/>
      <c r="O5" s="1" t="inlineStr"/>
    </row>
    <row r="6">
      <c r="A6" s="1" t="inlineStr"/>
      <c r="B6" s="1" t="inlineStr"/>
      <c r="C6" s="1" t="inlineStr"/>
      <c r="D6" s="1" t="inlineStr"/>
      <c r="E6" s="1" t="inlineStr"/>
      <c r="F6" s="1" t="inlineStr"/>
      <c r="G6" s="1" t="inlineStr"/>
      <c r="H6" s="1" t="inlineStr">
        <is>
          <t>Swipe left a fourth time on the welcome/tutorial screen. &lt;b71f779a1f0963d53f1859ce1784a17f4a319592a660124b62c8f18a53cf46e8&gt;</t>
        </is>
      </c>
      <c r="I6" s="1" t="inlineStr">
        <is>
          <t>CS</t>
        </is>
      </c>
      <c r="J6" s="1" t="inlineStr">
        <is>
          <t>Swipe Left &lt;b71f779a1f0963d53f1859ce1784a17f4a319592a660124b62c8f18a53cf46e8&gt;</t>
        </is>
      </c>
      <c r="K6" s="1" t="inlineStr">
        <is>
          <t>CS</t>
        </is>
      </c>
      <c r="L6" s="1" t="inlineStr"/>
      <c r="M6" s="1" t="inlineStr"/>
      <c r="N6" s="1" t="inlineStr"/>
      <c r="O6" s="1" t="inlineStr"/>
    </row>
    <row r="7">
      <c r="A7" s="1" t="inlineStr"/>
      <c r="B7" s="1" t="inlineStr"/>
      <c r="C7" s="1" t="inlineStr"/>
      <c r="D7" s="1" t="inlineStr"/>
      <c r="E7" s="1" t="inlineStr"/>
      <c r="F7" s="1" t="inlineStr"/>
      <c r="G7" s="1" t="inlineStr"/>
      <c r="H7" s="1" t="inlineStr">
        <is>
          <t>Tap "YES!" on the final welcome screen. &lt;9637973e88b508b265333dbf56463d16981017c2c09b4c69c5b9902e347d39e5&gt;</t>
        </is>
      </c>
      <c r="I7" s="1" t="inlineStr">
        <is>
          <t>CS</t>
        </is>
      </c>
      <c r="J7" s="1" t="inlineStr">
        <is>
          <t>Click YES &lt;9637973e88b508b265333dbf56463d16981017c2c09b4c69c5b9902e347d39e5&gt;</t>
        </is>
      </c>
      <c r="K7" s="1" t="inlineStr">
        <is>
          <t>CS</t>
        </is>
      </c>
      <c r="L7" s="1" t="inlineStr"/>
      <c r="M7" s="1" t="inlineStr"/>
      <c r="N7" s="1" t="inlineStr"/>
      <c r="O7" s="1" t="inlineStr"/>
    </row>
    <row r="8">
      <c r="A8" s="1" t="inlineStr"/>
      <c r="B8" s="1" t="inlineStr"/>
      <c r="C8" s="1" t="inlineStr"/>
      <c r="D8" s="1" t="inlineStr"/>
      <c r="E8" s="1" t="inlineStr"/>
      <c r="F8" s="1" t="inlineStr"/>
      <c r="G8" s="1" t="inlineStr"/>
      <c r="H8" s="1" t="inlineStr">
        <is>
          <t>Tap "Skip" on the login screen. &lt;bb009cd969fdfffc3f5842081f292334289f80d5b8fc399d1fce7ec4972173c4&gt;</t>
        </is>
      </c>
      <c r="I8" s="1" t="inlineStr">
        <is>
          <t>CS</t>
        </is>
      </c>
      <c r="J8" s="1" t="inlineStr">
        <is>
          <t>Click Skip &lt;bb009cd969fdfffc3f5842081f292334289f80d5b8fc399d1fce7ec4972173c4&gt;</t>
        </is>
      </c>
      <c r="K8" s="1" t="inlineStr">
        <is>
          <t>CS</t>
        </is>
      </c>
      <c r="L8" s="1" t="inlineStr"/>
      <c r="M8" s="1" t="inlineStr"/>
      <c r="N8" s="1" t="inlineStr"/>
      <c r="O8" s="1" t="inlineStr"/>
    </row>
    <row r="9">
      <c r="A9" s="1" t="inlineStr"/>
      <c r="B9" s="1" t="inlineStr"/>
      <c r="C9" s="1" t="inlineStr"/>
      <c r="D9" s="1" t="inlineStr"/>
      <c r="E9" s="1" t="inlineStr"/>
      <c r="F9" s="1" t="inlineStr"/>
      <c r="G9" s="1" t="inlineStr"/>
      <c r="H9" s="1" t="inlineStr">
        <is>
          <t>Confirm skipping login by tapping "YES". &lt;a15358162dfdc9d6068f688c1a95276f63e1788b93f9311047afa58f7e695b0b&gt;</t>
        </is>
      </c>
      <c r="I9" s="1" t="inlineStr">
        <is>
          <t>CS</t>
        </is>
      </c>
      <c r="J9" s="1" t="inlineStr">
        <is>
          <t>Click YES &lt;a15358162dfdc9d6068f688c1a95276f63e1788b93f9311047afa58f7e695b0b&gt;</t>
        </is>
      </c>
      <c r="K9" s="1" t="inlineStr">
        <is>
          <t>CS</t>
        </is>
      </c>
      <c r="L9" s="1" t="inlineStr"/>
      <c r="M9" s="1" t="inlineStr"/>
      <c r="N9" s="1" t="inlineStr"/>
      <c r="O9" s="1" t="inlineStr"/>
    </row>
    <row r="10">
      <c r="A10" s="1" t="inlineStr"/>
      <c r="B10" s="1" t="inlineStr"/>
      <c r="C10" s="1" t="inlineStr"/>
      <c r="D10" s="1" t="inlineStr"/>
      <c r="E10" s="1" t="inlineStr"/>
      <c r="F10" s="1" t="inlineStr"/>
      <c r="G10" s="1" t="inlineStr"/>
      <c r="H10" s="1" t="inlineStr">
        <is>
          <t>Open the navigation drawer from the Explore screen. &lt;1d89fc61d139df7152892234c2a3f5174669a9b3b57a90c88ff95b811528ce5e&gt;</t>
        </is>
      </c>
      <c r="I10" s="1" t="inlineStr">
        <is>
          <t>CS</t>
        </is>
      </c>
      <c r="J10" s="1" t="inlineStr">
        <is>
          <t>Click the navigation drawer button, i.e., the menu option &lt;1d89fc61d139df7152892234c2a3f5174669a9b3b57a90c88ff95b811528ce5e&gt;</t>
        </is>
      </c>
      <c r="K10" s="1" t="inlineStr">
        <is>
          <t>CS</t>
        </is>
      </c>
      <c r="L10" s="1" t="inlineStr"/>
      <c r="M10" s="1" t="inlineStr"/>
      <c r="N10" s="1" t="inlineStr"/>
      <c r="O10" s="1" t="inlineStr"/>
    </row>
    <row r="11">
      <c r="A11" s="1" t="inlineStr"/>
      <c r="B11" s="1" t="inlineStr"/>
      <c r="C11" s="1" t="inlineStr"/>
      <c r="D11" s="1" t="inlineStr"/>
      <c r="E11" s="1" t="inlineStr"/>
      <c r="F11" s="1" t="inlineStr"/>
      <c r="G11" s="1" t="inlineStr"/>
      <c r="H11" s="1" t="inlineStr">
        <is>
          <t>Select "Explore" from the navigation drawer. &lt;2cb54b6b2c319fadcb77770ddc6f08bc1620d2ea99af5e4315a0e04d97476e34&gt;</t>
        </is>
      </c>
      <c r="I11" s="1" t="inlineStr">
        <is>
          <t>CS</t>
        </is>
      </c>
      <c r="J11" s="1" t="inlineStr">
        <is>
          <t>Click Explore &lt;2cb54b6b2c319fadcb77770ddc6f08bc1620d2ea99af5e4315a0e04d97476e34&gt;</t>
        </is>
      </c>
      <c r="K11" s="1" t="inlineStr">
        <is>
          <t>CS</t>
        </is>
      </c>
      <c r="L11" s="1" t="inlineStr"/>
      <c r="M11" s="1" t="inlineStr"/>
      <c r="N11" s="1" t="inlineStr"/>
      <c r="O11" s="1" t="inlineStr"/>
    </row>
    <row r="12">
      <c r="A12" s="1" t="inlineStr"/>
      <c r="B12" s="1" t="inlineStr"/>
      <c r="C12" s="1" t="inlineStr"/>
      <c r="D12" s="1" t="inlineStr"/>
      <c r="E12" s="1" t="inlineStr"/>
      <c r="F12" s="1" t="inlineStr"/>
      <c r="G12" s="1" t="inlineStr"/>
      <c r="H12" s="1" t="inlineStr">
        <is>
          <t>Tap a picture in Explore. &lt;eeb2dcc5b038a5365fc5e3968862c3ae476f8c007955b49e9585b8a8b05bc0c1&gt;</t>
        </is>
      </c>
      <c r="I12" s="1" t="inlineStr">
        <is>
          <t>CS</t>
        </is>
      </c>
      <c r="J12" s="1" t="inlineStr">
        <is>
          <t>Click a picture &lt;eeb2dcc5b038a5365fc5e3968862c3ae476f8c007955b49e9585b8a8b05bc0c1&gt;</t>
        </is>
      </c>
      <c r="K12" s="1" t="inlineStr">
        <is>
          <t>CS</t>
        </is>
      </c>
      <c r="L12" s="1" t="inlineStr"/>
      <c r="M12" s="1" t="inlineStr"/>
      <c r="N12" s="1" t="inlineStr"/>
      <c r="O12" s="1" t="inlineStr"/>
    </row>
    <row r="13">
      <c r="A13" s="1" t="inlineStr"/>
      <c r="B13" s="1" t="inlineStr"/>
      <c r="C13" s="1" t="inlineStr"/>
      <c r="D13" s="1" t="inlineStr"/>
      <c r="E13" s="1" t="inlineStr"/>
      <c r="F13" s="1" t="inlineStr"/>
      <c r="G13" s="1" t="inlineStr"/>
      <c r="H13" s="1" t="inlineStr">
        <is>
          <t>Swipe up on the media details screen. &lt;d84994fbe18eaf7d76f1dfe454496f07db5e6a0c2213452558c14661322567ac&gt;</t>
        </is>
      </c>
      <c r="I13" s="1" t="inlineStr">
        <is>
          <t>CS</t>
        </is>
      </c>
      <c r="J13" s="1" t="inlineStr">
        <is>
          <t>Swipe Up &lt;d84994fbe18eaf7d76f1dfe454496f07db5e6a0c2213452558c14661322567ac&gt;</t>
        </is>
      </c>
      <c r="K13" s="1" t="inlineStr">
        <is>
          <t>CS</t>
        </is>
      </c>
      <c r="L13" s="1" t="inlineStr"/>
      <c r="M13" s="1" t="inlineStr"/>
      <c r="N13" s="1" t="inlineStr"/>
      <c r="O13" s="1" t="inlineStr"/>
    </row>
    <row r="14">
      <c r="A14" s="1" t="inlineStr"/>
      <c r="B14" s="1" t="inlineStr"/>
      <c r="C14" s="1" t="inlineStr"/>
      <c r="D14" s="1" t="inlineStr"/>
      <c r="E14" s="1" t="inlineStr"/>
      <c r="F14" s="1" t="inlineStr"/>
      <c r="G14" s="1" t="inlineStr"/>
      <c r="H14" s="1" t="inlineStr">
        <is>
          <t>Swipe up again on the media details screen. &lt;44efd4db46c1a856f86f5f10423f5a596b37a4499b0d7f8dbc4036eba4edddf7&gt;</t>
        </is>
      </c>
      <c r="I14" s="1" t="inlineStr">
        <is>
          <t>CS</t>
        </is>
      </c>
      <c r="J14" s="1" t="inlineStr">
        <is>
          <t>Swipe Up &lt;44efd4db46c1a856f86f5f10423f5a596b37a4499b0d7f8dbc4036eba4edddf7&gt;</t>
        </is>
      </c>
      <c r="K14" s="1" t="inlineStr">
        <is>
          <t>CS</t>
        </is>
      </c>
      <c r="L14" s="1" t="inlineStr"/>
      <c r="M14" s="1" t="inlineStr"/>
      <c r="N14" s="1" t="inlineStr"/>
      <c r="O14" s="1" t="inlineStr"/>
    </row>
    <row r="15">
      <c r="A15" s="1" t="inlineStr"/>
      <c r="B15" s="1" t="inlineStr"/>
      <c r="C15" s="1" t="inlineStr"/>
      <c r="D15" s="1" t="inlineStr"/>
      <c r="E15" s="1" t="inlineStr"/>
      <c r="F15" s="1" t="inlineStr"/>
      <c r="G15" s="1" t="inlineStr"/>
      <c r="H15" s="1" t="inlineStr">
        <is>
          <t>Tap a category from the media details categories list. &lt;f855240a7c5488e1a1fd483c6fec3b99757ca2940f7ceba50517a42c5e6211dc&gt;</t>
        </is>
      </c>
      <c r="I15" s="1" t="inlineStr">
        <is>
          <t>CS</t>
        </is>
      </c>
      <c r="J15" s="1" t="inlineStr">
        <is>
          <t>Click a category &lt;f855240a7c5488e1a1fd483c6fec3b99757ca2940f7ceba50517a42c5e6211dc&gt;</t>
        </is>
      </c>
      <c r="K15" s="1" t="inlineStr">
        <is>
          <t>CS</t>
        </is>
      </c>
      <c r="L15" s="1" t="inlineStr"/>
      <c r="M15" s="1" t="inlineStr"/>
      <c r="N15" s="1" t="inlineStr"/>
      <c r="O15" s="1" t="inlineStr"/>
    </row>
    <row r="16">
      <c r="A16" s="1" t="inlineStr"/>
      <c r="B16" s="1" t="inlineStr"/>
      <c r="C16" s="1" t="inlineStr"/>
      <c r="D16" s="1" t="inlineStr"/>
      <c r="E16" s="1" t="inlineStr"/>
      <c r="F16" s="1" t="inlineStr"/>
      <c r="G16" s="1" t="inlineStr"/>
      <c r="H16" s="1" t="inlineStr">
        <is>
          <t>Tap the "PARENT CATEGORIES" tab. &lt;31951cb9f29b46f435d8f75ccd1b6f6cc6ead9febe61faa81dad6e547e91a68f&gt;</t>
        </is>
      </c>
      <c r="I16" s="1" t="inlineStr">
        <is>
          <t>CS</t>
        </is>
      </c>
      <c r="J16" s="1" t="inlineStr">
        <is>
          <t>Click parent Categories &lt;31951cb9f29b46f435d8f75ccd1b6f6cc6ead9febe61faa81dad6e547e91a68f&gt;</t>
        </is>
      </c>
      <c r="K16" s="1" t="inlineStr">
        <is>
          <t>CS</t>
        </is>
      </c>
      <c r="L16" s="1" t="inlineStr"/>
      <c r="M16" s="1" t="inlineStr"/>
      <c r="N16" s="1" t="inlineStr"/>
      <c r="O16" s="1" t="inlineStr"/>
    </row>
    <row r="17">
      <c r="A17" s="2" t="inlineStr"/>
      <c r="B17" s="2" t="inlineStr"/>
      <c r="C17" s="2" t="inlineStr"/>
      <c r="D17" s="2" t="inlineStr"/>
      <c r="E17" s="2" t="inlineStr"/>
      <c r="F17" s="2" t="inlineStr"/>
      <c r="G17" s="2" t="inlineStr"/>
      <c r="H17" s="2" t="inlineStr"/>
      <c r="I17" s="2" t="inlineStr"/>
      <c r="J17" s="2" t="inlineStr"/>
      <c r="K17" s="2" t="inlineStr"/>
      <c r="L17" s="2" t="inlineStr"/>
      <c r="M17" s="2" t="inlineStr"/>
      <c r="N17" s="2" t="inlineStr"/>
      <c r="O17" s="2" t="inlineStr"/>
    </row>
    <row r="18">
      <c r="A18" s="1" t="n">
        <v>2</v>
      </c>
      <c r="B18" s="1" t="inlineStr">
        <is>
          <t>Family Finance</t>
        </is>
      </c>
      <c r="C18" s="1" t="inlineStr">
        <is>
          <t>bugscribe_mutli-candidate_transitions_and_screen_descriptions</t>
        </is>
      </c>
      <c r="D18" s="1" t="inlineStr">
        <is>
          <t>HC_HP</t>
        </is>
      </c>
      <c r="E18" s="1" t="inlineStr">
        <is>
          <t>On Display of Incomes by Articles pop-up of the Reports screen changing the report appearance from 'view values' to 'use percent values' causes the application to crash, but the appearance of the report should be changed to 'use percent values'. I took these steps: Open the app, tap Allow, select Report, choose Incomes By Articles or Expenses By Articles, tap View, check 'view values', check 'use percent values', and tap OK.</t>
        </is>
      </c>
      <c r="F18" s="1" t="inlineStr">
        <is>
          <t>Title: App crashes when applying both View values and Use percent values in the Display of Incomes by Articles dialog
Observed Behavior: On the Display of Incomes by Articles pop-up of the Reports screen, if the user checks View values, checks Use percent values, and taps OK, the application crashes.
Expected Behavior: The appearance of the report should be changed to use percent values.</t>
        </is>
      </c>
      <c r="G18" s="1" t="inlineStr">
        <is>
          <t>1. Open app &lt;fa8baa4de2d1015dd5da60a38bcc25a725e918d25bafb6b4b8bafe8f727ccfcf&gt;
2. Click allow button &lt;8407e328c4a9d75304cf3edee19af6616ae654caca4e79229e0df0c827909816&gt;
3. Click Report &lt;9a4f389ec16dc06bc51519fd35159ab49c667d2cae3e0323df9bf08cd98bda88
4. Click Incomes By Articles or expenses by articles &lt;c010db1badf9deb0564b10c46916ad505c7d1acca0f840fdc12c4867c81990d0&gt;
5. Click View Button &lt;c7c181b4d07f85b6731edefa0c51eca8637b088e992c8d07e2349379db3cd413&gt;
6. Click view values checkbox &lt;dc01c666d81db01f9ceb751ff256033bcc27f75ab0951ef2f9eff49e39233d64&gt;
7. Click use percent values checkbox &lt;c3292f1abb084883da9f0bf06776dd33343b186505d53bedfbb8b83717e4b319&gt;
8. Click OK &lt;26c0ae2d76021672cf80c07928394773aec07f5be831f91ab09b5f7c2392b6aa&gt;</t>
        </is>
      </c>
      <c r="H18" s="1" t="inlineStr">
        <is>
          <t>Open the app. &lt;fa8baa4de2d1015dd5da60a38bcc25a725e918d25bafb6b4b8bafe8f727ccfcf&gt;</t>
        </is>
      </c>
      <c r="I18" s="1" t="inlineStr">
        <is>
          <t>CS</t>
        </is>
      </c>
      <c r="J18" s="1" t="inlineStr">
        <is>
          <t>Open app &lt;fa8baa4de2d1015dd5da60a38bcc25a725e918d25bafb6b4b8bafe8f727ccfcf&gt;</t>
        </is>
      </c>
      <c r="K18" s="1" t="inlineStr">
        <is>
          <t>CS</t>
        </is>
      </c>
      <c r="L18" s="1">
        <f>IFERROR(COUNTIF(K18:K25,"CS")/COUNTA(K18:K25),"")</f>
        <v/>
      </c>
      <c r="M18" s="1">
        <f>COUNTIF(K18:K25,"CS")/8</f>
        <v/>
      </c>
      <c r="N18" s="1">
        <f>IFERROR(2*(L18*M18)/(L18+M18),"")</f>
        <v/>
      </c>
      <c r="O18" s="1" t="n">
        <v>8</v>
      </c>
    </row>
    <row r="19">
      <c r="A19" s="1" t="inlineStr"/>
      <c r="B19" s="1" t="inlineStr"/>
      <c r="C19" s="1" t="inlineStr"/>
      <c r="D19" s="1" t="inlineStr"/>
      <c r="E19" s="1" t="inlineStr"/>
      <c r="F19" s="1" t="inlineStr"/>
      <c r="G19" s="1" t="inlineStr"/>
      <c r="H19" s="1" t="inlineStr">
        <is>
          <t>Tap Allow on the SMS permission dialog. &lt;8407e328c4a9d75304cf3edee19af6616ae654caca4e79229e0df0c827909816&gt;</t>
        </is>
      </c>
      <c r="I19" s="1" t="inlineStr">
        <is>
          <t>CS</t>
        </is>
      </c>
      <c r="J19" s="1" t="inlineStr">
        <is>
          <t>Click allow button &lt;8407e328c4a9d75304cf3edee19af6616ae654caca4e79229e0df0c827909816&gt;</t>
        </is>
      </c>
      <c r="K19" s="1" t="inlineStr">
        <is>
          <t>CS</t>
        </is>
      </c>
      <c r="L19" s="1" t="inlineStr"/>
      <c r="M19" s="1" t="inlineStr"/>
      <c r="N19" s="1" t="inlineStr"/>
      <c r="O19" s="1" t="inlineStr"/>
    </row>
    <row r="20">
      <c r="A20" s="1" t="inlineStr"/>
      <c r="B20" s="1" t="inlineStr"/>
      <c r="C20" s="1" t="inlineStr"/>
      <c r="D20" s="1" t="inlineStr"/>
      <c r="E20" s="1" t="inlineStr"/>
      <c r="F20" s="1" t="inlineStr"/>
      <c r="G20" s="1" t="inlineStr"/>
      <c r="H20" s="1" t="inlineStr">
        <is>
          <t>Tap Reports from the main screen. &lt;9a4f389ec16dc06bc51519fd35159ab49c667d2cae3e0323df9bf08cd98bda88&gt;</t>
        </is>
      </c>
      <c r="I20" s="1" t="inlineStr">
        <is>
          <t>CS</t>
        </is>
      </c>
      <c r="J20" s="1" t="inlineStr">
        <is>
          <t>Click Report &lt;9a4f389ec16dc06bc51519fd35159ab49c667d2cae3e0323df9bf08cd98bda88</t>
        </is>
      </c>
      <c r="K20" s="1" t="inlineStr">
        <is>
          <t>CS</t>
        </is>
      </c>
      <c r="L20" s="1" t="inlineStr"/>
      <c r="M20" s="1" t="inlineStr"/>
      <c r="N20" s="1" t="inlineStr"/>
      <c r="O20" s="1" t="inlineStr"/>
    </row>
    <row r="21">
      <c r="A21" s="1" t="inlineStr"/>
      <c r="B21" s="1" t="inlineStr"/>
      <c r="C21" s="1" t="inlineStr"/>
      <c r="D21" s="1" t="inlineStr"/>
      <c r="E21" s="1" t="inlineStr"/>
      <c r="F21" s="1" t="inlineStr"/>
      <c r="G21" s="1" t="inlineStr"/>
      <c r="H21" s="1" t="inlineStr">
        <is>
          <t>Select Incomes by Articles. &lt;c010db1badf9deb0564b10c46916ad505c7d1acca0f840fdc12c4867c81990d0&gt;</t>
        </is>
      </c>
      <c r="I21" s="1" t="inlineStr">
        <is>
          <t>CS</t>
        </is>
      </c>
      <c r="J21" s="1" t="inlineStr">
        <is>
          <t>Click Incomes By Articles or expenses by articles &lt;c010db1badf9deb0564b10c46916ad505c7d1acca0f840fdc12c4867c81990d0&gt;</t>
        </is>
      </c>
      <c r="K21" s="1" t="inlineStr">
        <is>
          <t>CS</t>
        </is>
      </c>
      <c r="L21" s="1" t="inlineStr"/>
      <c r="M21" s="1" t="inlineStr"/>
      <c r="N21" s="1" t="inlineStr"/>
      <c r="O21" s="1" t="inlineStr"/>
    </row>
    <row r="22">
      <c r="A22" s="1" t="inlineStr"/>
      <c r="B22" s="1" t="inlineStr"/>
      <c r="C22" s="1" t="inlineStr"/>
      <c r="D22" s="1" t="inlineStr"/>
      <c r="E22" s="1" t="inlineStr"/>
      <c r="F22" s="1" t="inlineStr"/>
      <c r="G22" s="1" t="inlineStr"/>
      <c r="H22" s="1" t="inlineStr">
        <is>
          <t>Tap Display to open the Display of Incomes by Articles dialog. &lt;c7c181b4d07f85b6731edefa0c51eca8637b088e992c8d07e2349379db3cd413&gt;</t>
        </is>
      </c>
      <c r="I22" s="1" t="inlineStr">
        <is>
          <t>CS</t>
        </is>
      </c>
      <c r="J22" s="1" t="inlineStr">
        <is>
          <t>Click View Button &lt;c7c181b4d07f85b6731edefa0c51eca8637b088e992c8d07e2349379db3cd413&gt;</t>
        </is>
      </c>
      <c r="K22" s="1" t="inlineStr">
        <is>
          <t>CS</t>
        </is>
      </c>
      <c r="L22" s="1" t="inlineStr"/>
      <c r="M22" s="1" t="inlineStr"/>
      <c r="N22" s="1" t="inlineStr"/>
      <c r="O22" s="1" t="inlineStr"/>
    </row>
    <row r="23">
      <c r="A23" s="1" t="inlineStr"/>
      <c r="B23" s="1" t="inlineStr"/>
      <c r="C23" s="1" t="inlineStr"/>
      <c r="D23" s="1" t="inlineStr"/>
      <c r="E23" s="1" t="inlineStr"/>
      <c r="F23" s="1" t="inlineStr"/>
      <c r="G23" s="1" t="inlineStr"/>
      <c r="H23" s="1" t="inlineStr">
        <is>
          <t>Check View values. &lt;dc01c666d81db01f9ceb751ff256033bcc27f75ab0951ef2f9eff49e39233d64&gt;</t>
        </is>
      </c>
      <c r="I23" s="1" t="inlineStr">
        <is>
          <t>CS</t>
        </is>
      </c>
      <c r="J23" s="1" t="inlineStr">
        <is>
          <t>Click view values checkbox &lt;dc01c666d81db01f9ceb751ff256033bcc27f75ab0951ef2f9eff49e39233d64&gt;</t>
        </is>
      </c>
      <c r="K23" s="1" t="inlineStr">
        <is>
          <t>CS</t>
        </is>
      </c>
      <c r="L23" s="1" t="inlineStr"/>
      <c r="M23" s="1" t="inlineStr"/>
      <c r="N23" s="1" t="inlineStr"/>
      <c r="O23" s="1" t="inlineStr"/>
    </row>
    <row r="24">
      <c r="A24" s="1" t="inlineStr"/>
      <c r="B24" s="1" t="inlineStr"/>
      <c r="C24" s="1" t="inlineStr"/>
      <c r="D24" s="1" t="inlineStr"/>
      <c r="E24" s="1" t="inlineStr"/>
      <c r="F24" s="1" t="inlineStr"/>
      <c r="G24" s="1" t="inlineStr"/>
      <c r="H24" s="1" t="inlineStr">
        <is>
          <t>Check Use percent values. &lt;c3292f1abb084883da9f0bf06776dd33343b186505d53bedfbb8b83717e4b319&gt;</t>
        </is>
      </c>
      <c r="I24" s="1" t="inlineStr">
        <is>
          <t>CS</t>
        </is>
      </c>
      <c r="J24" s="1" t="inlineStr">
        <is>
          <t>Click use percent values checkbox &lt;c3292f1abb084883da9f0bf06776dd33343b186505d53bedfbb8b83717e4b319&gt;</t>
        </is>
      </c>
      <c r="K24" s="1" t="inlineStr">
        <is>
          <t>CS</t>
        </is>
      </c>
      <c r="L24" s="1" t="inlineStr"/>
      <c r="M24" s="1" t="inlineStr"/>
      <c r="N24" s="1" t="inlineStr"/>
      <c r="O24" s="1" t="inlineStr"/>
    </row>
    <row r="25">
      <c r="A25" s="1" t="inlineStr"/>
      <c r="B25" s="1" t="inlineStr"/>
      <c r="C25" s="1" t="inlineStr"/>
      <c r="D25" s="1" t="inlineStr"/>
      <c r="E25" s="1" t="inlineStr"/>
      <c r="F25" s="1" t="inlineStr"/>
      <c r="G25" s="1" t="inlineStr"/>
      <c r="H25" s="1" t="inlineStr">
        <is>
          <t>Tap OK. &lt;26c0ae2d76021672cf80c07928394773aec07f5be831f91ab09b5f7c2392b6aa&gt;</t>
        </is>
      </c>
      <c r="I25" s="1" t="inlineStr">
        <is>
          <t>CS</t>
        </is>
      </c>
      <c r="J25" s="1" t="inlineStr">
        <is>
          <t>Click OK &lt;26c0ae2d76021672cf80c07928394773aec07f5be831f91ab09b5f7c2392b6aa&gt;</t>
        </is>
      </c>
      <c r="K25" s="1" t="inlineStr">
        <is>
          <t>CS</t>
        </is>
      </c>
      <c r="L25" s="1" t="inlineStr"/>
      <c r="M25" s="1" t="inlineStr"/>
      <c r="N25" s="1" t="inlineStr"/>
      <c r="O25" s="1" t="inlineStr"/>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row>
    <row r="27">
      <c r="A27" s="1" t="n">
        <v>10</v>
      </c>
      <c r="B27" s="1" t="inlineStr">
        <is>
          <t>Material Files</t>
        </is>
      </c>
      <c r="C27" s="1" t="inlineStr">
        <is>
          <t>bugscribe_mutli-candidate_transitions_and_screen_descriptions</t>
        </is>
      </c>
      <c r="D27" s="1" t="inlineStr">
        <is>
          <t>HC_LP</t>
        </is>
      </c>
      <c r="E27" s="1" t="inlineStr">
        <is>
          <t>On the FTP server screen, stopping it and closing the app makes the server restart, even though it should stay stopped.</t>
        </is>
      </c>
      <c r="F27" s="1" t="inlineStr"/>
      <c r="G27" s="1" t="inlineStr">
        <is>
          <t>1. Open app &lt;aa09f6aef3409759f67d672c9efcbd64d8f3b0ee61cf3e8d197f0539e34430d2&gt;
2. Click allow &lt;9253ef287211a96261d15d2522d1499f880b411f5e49851b98bae34f3403ab9d&gt;
3. Click the navigation drawer button, i.e., the menu option &lt;3abd760d81519f7d0b2fe5daa74c918b40f9496bef2bf776dd7b0d8e95a47b49&gt;
4. Click FTP server &lt;ed4ddd149d2da1bda9c6a957048313602988bce3f183bd199efeacece662aeec&gt;
5. Click the status toggle button (switch server on) &lt;8453ee6186ad267c55c0f443ad2d1644911453cf4f005a06837b415345db6be5 &gt;
6. Click the status toggle button (switch server off) &lt;5f369cd30bd1e5644d294c31e5ff58277cad40b2633f69cc4105944721df8b1b&gt;</t>
        </is>
      </c>
      <c r="H27" s="1" t="inlineStr">
        <is>
          <t>Open the app. &lt;aa09f6aef3409759f67d672c9efcbd64d8f3b0ee61cf3e8d197f0539e34430d2&gt;</t>
        </is>
      </c>
      <c r="I27" s="1" t="inlineStr">
        <is>
          <t>CS</t>
        </is>
      </c>
      <c r="J27" s="1" t="inlineStr">
        <is>
          <t>Open app &lt;aa09f6aef3409759f67d672c9efcbd64d8f3b0ee61cf3e8d197f0539e34430d2&gt;</t>
        </is>
      </c>
      <c r="K27" s="1" t="inlineStr">
        <is>
          <t>CS</t>
        </is>
      </c>
      <c r="L27" s="1">
        <f>IFERROR(COUNTIF(K27:K32,"CS")/COUNTA(K27:K32),"")</f>
        <v/>
      </c>
      <c r="M27" s="1">
        <f>COUNTIF(K27:K32,"CS")/6</f>
        <v/>
      </c>
      <c r="N27" s="1">
        <f>IFERROR(2*(L27*M27)/(L27+M27),"")</f>
        <v/>
      </c>
      <c r="O27" s="1" t="n">
        <v>6</v>
      </c>
    </row>
    <row r="28">
      <c r="A28" s="1" t="inlineStr"/>
      <c r="B28" s="1" t="inlineStr"/>
      <c r="C28" s="1" t="inlineStr"/>
      <c r="D28" s="1" t="inlineStr"/>
      <c r="E28" s="1" t="inlineStr"/>
      <c r="F28" s="1" t="inlineStr"/>
      <c r="G28" s="1" t="inlineStr"/>
      <c r="H28" s="1" t="inlineStr">
        <is>
          <t>Grant the storage permission by tapping Allow. &lt;9253ef287211a96261d15d2522d1499f880b411f5e49851b98bae34f3403ab9d&gt;</t>
        </is>
      </c>
      <c r="I28" s="1" t="inlineStr">
        <is>
          <t>CS</t>
        </is>
      </c>
      <c r="J28" s="1" t="inlineStr">
        <is>
          <t>Click allow &lt;9253ef287211a96261d15d2522d1499f880b411f5e49851b98bae34f3403ab9d&gt;</t>
        </is>
      </c>
      <c r="K28" s="1" t="inlineStr">
        <is>
          <t>CS</t>
        </is>
      </c>
      <c r="L28" s="1" t="inlineStr"/>
      <c r="M28" s="1" t="inlineStr"/>
      <c r="N28" s="1" t="inlineStr"/>
      <c r="O28" s="1" t="inlineStr"/>
    </row>
    <row r="29">
      <c r="A29" s="1" t="inlineStr"/>
      <c r="B29" s="1" t="inlineStr"/>
      <c r="C29" s="1" t="inlineStr"/>
      <c r="D29" s="1" t="inlineStr"/>
      <c r="E29" s="1" t="inlineStr"/>
      <c r="F29" s="1" t="inlineStr"/>
      <c r="G29" s="1" t="inlineStr"/>
      <c r="H29" s="1" t="inlineStr">
        <is>
          <t>Open the navigation drawer from the main Files screen. &lt;3abd760d81519f7d0b2fe5daa74c918b40f9496bef2bf776dd7b0d8e95a47b49&gt;</t>
        </is>
      </c>
      <c r="I29" s="1" t="inlineStr">
        <is>
          <t>CS</t>
        </is>
      </c>
      <c r="J29" s="1" t="inlineStr">
        <is>
          <t>Click the navigation drawer button, i.e., the menu option &lt;3abd760d81519f7d0b2fe5daa74c918b40f9496bef2bf776dd7b0d8e95a47b49&gt;</t>
        </is>
      </c>
      <c r="K29" s="1" t="inlineStr">
        <is>
          <t>CS</t>
        </is>
      </c>
      <c r="L29" s="1" t="inlineStr"/>
      <c r="M29" s="1" t="inlineStr"/>
      <c r="N29" s="1" t="inlineStr"/>
      <c r="O29" s="1" t="inlineStr"/>
    </row>
    <row r="30">
      <c r="A30" s="1" t="inlineStr"/>
      <c r="B30" s="1" t="inlineStr"/>
      <c r="C30" s="1" t="inlineStr"/>
      <c r="D30" s="1" t="inlineStr"/>
      <c r="E30" s="1" t="inlineStr"/>
      <c r="F30" s="1" t="inlineStr"/>
      <c r="G30" s="1" t="inlineStr"/>
      <c r="H30" s="1" t="inlineStr">
        <is>
          <t>Select FTP server from the navigation drawer. &lt;ed4ddd149d2da1bda9c6a957048313602988bce3f183bd199efeacece662aeec&gt;</t>
        </is>
      </c>
      <c r="I30" s="1" t="inlineStr">
        <is>
          <t>CS</t>
        </is>
      </c>
      <c r="J30" s="1" t="inlineStr">
        <is>
          <t>Click FTP server &lt;ed4ddd149d2da1bda9c6a957048313602988bce3f183bd199efeacece662aeec&gt;</t>
        </is>
      </c>
      <c r="K30" s="1" t="inlineStr">
        <is>
          <t>CS</t>
        </is>
      </c>
      <c r="L30" s="1" t="inlineStr"/>
      <c r="M30" s="1" t="inlineStr"/>
      <c r="N30" s="1" t="inlineStr"/>
      <c r="O30" s="1" t="inlineStr"/>
    </row>
    <row r="31">
      <c r="A31" s="1" t="inlineStr"/>
      <c r="B31" s="1" t="inlineStr"/>
      <c r="C31" s="1" t="inlineStr"/>
      <c r="D31" s="1" t="inlineStr"/>
      <c r="E31" s="1" t="inlineStr"/>
      <c r="F31" s="1" t="inlineStr"/>
      <c r="G31" s="1" t="inlineStr"/>
      <c r="H31" s="1" t="inlineStr">
        <is>
          <t>On the FTP server screen, tap the ON switch to stop the FTP server. &lt;8453ee6186ad267c55c0f443ad2d1644911453cf4f005a06837b415345db6be5&gt;</t>
        </is>
      </c>
      <c r="I31" s="1" t="inlineStr">
        <is>
          <t>CS</t>
        </is>
      </c>
      <c r="J31" s="1" t="inlineStr">
        <is>
          <t>Click the status toggle button (switch server on) &lt;8453ee6186ad267c55c0f443ad2d1644911453cf4f005a06837b415345db6be5 &gt;</t>
        </is>
      </c>
      <c r="K31" s="1" t="inlineStr">
        <is>
          <t>CS</t>
        </is>
      </c>
      <c r="L31" s="1" t="inlineStr"/>
      <c r="M31" s="1" t="inlineStr"/>
      <c r="N31" s="1" t="inlineStr"/>
      <c r="O31" s="1" t="inlineStr"/>
    </row>
    <row r="32">
      <c r="A32" s="1" t="inlineStr"/>
      <c r="B32" s="1" t="inlineStr"/>
      <c r="C32" s="1" t="inlineStr"/>
      <c r="D32" s="1" t="inlineStr"/>
      <c r="E32" s="1" t="inlineStr"/>
      <c r="F32" s="1" t="inlineStr"/>
      <c r="G32" s="1" t="inlineStr"/>
      <c r="H32" s="1" t="inlineStr">
        <is>
          <t>Close the app by pressing Back from the FTP server screen. &lt;944abf1e97748f2436418aea5aa65a35e80ea307f807f0264ae85d2c80188e7c&gt;</t>
        </is>
      </c>
      <c r="I32" s="1" t="inlineStr">
        <is>
          <t>ES</t>
        </is>
      </c>
      <c r="J32" s="1" t="inlineStr"/>
      <c r="K32" s="1" t="inlineStr">
        <is>
          <t>ES</t>
        </is>
      </c>
      <c r="L32" s="1" t="inlineStr"/>
      <c r="M32" s="1" t="inlineStr"/>
      <c r="N32" s="1" t="inlineStr"/>
      <c r="O32" s="1" t="inlineStr"/>
    </row>
    <row r="33">
      <c r="A33" s="2" t="inlineStr"/>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row>
    <row r="34">
      <c r="A34" s="1" t="n">
        <v>10</v>
      </c>
      <c r="B34" s="1" t="inlineStr">
        <is>
          <t>Material Files</t>
        </is>
      </c>
      <c r="C34" s="1" t="inlineStr">
        <is>
          <t>bugscribe_mutli-candidate_transitions_and_screen_descriptions</t>
        </is>
      </c>
      <c r="D34" s="1" t="inlineStr">
        <is>
          <t>LC_LP</t>
        </is>
      </c>
      <c r="E34" s="1" t="inlineStr">
        <is>
          <t>It restarts on its own.</t>
        </is>
      </c>
      <c r="F34" s="1" t="inlineStr"/>
      <c r="G34" s="1" t="inlineStr">
        <is>
          <t>1. Open app &lt;aa09f6aef3409759f67d672c9efcbd64d8f3b0ee61cf3e8d197f0539e34430d2&gt;
2. Click allow &lt;9253ef287211a96261d15d2522d1499f880b411f5e49851b98bae34f3403ab9d&gt;
3. Click the navigation drawer button, i.e., the menu option &lt;3abd760d81519f7d0b2fe5daa74c918b40f9496bef2bf776dd7b0d8e95a47b49&gt;
4. Click FTP server &lt;ed4ddd149d2da1bda9c6a957048313602988bce3f183bd199efeacece662aeec&gt;
5. Click the status toggle button (switch server on) &lt;8453ee6186ad267c55c0f443ad2d1644911453cf4f005a06837b415345db6be5 &gt;
6. Click the status toggle button (switch server off) &lt;5f369cd30bd1e5644d294c31e5ff58277cad40b2633f69cc4105944721df8b1b&gt;</t>
        </is>
      </c>
      <c r="H34" s="1" t="inlineStr">
        <is>
          <t>Open the app. &lt;aa09f6aef3409759f67d672c9efcbd64d8f3b0ee61cf3e8d197f0539e34430d2&gt;</t>
        </is>
      </c>
      <c r="I34" s="1" t="inlineStr">
        <is>
          <t>CS</t>
        </is>
      </c>
      <c r="J34" s="1" t="inlineStr">
        <is>
          <t>Open app &lt;aa09f6aef3409759f67d672c9efcbd64d8f3b0ee61cf3e8d197f0539e34430d2&gt;</t>
        </is>
      </c>
      <c r="K34" s="1" t="inlineStr">
        <is>
          <t>CS</t>
        </is>
      </c>
      <c r="L34" s="1">
        <f>IFERROR(COUNTIF(K34:K43,"CS")/COUNTA(K34:K43),"")</f>
        <v/>
      </c>
      <c r="M34" s="1">
        <f>COUNTIF(K34:K43,"CS")/6</f>
        <v/>
      </c>
      <c r="N34" s="1">
        <f>IFERROR(2*(L34*M34)/(L34+M34),"")</f>
        <v/>
      </c>
      <c r="O34" s="1" t="n">
        <v>6</v>
      </c>
    </row>
    <row r="35">
      <c r="A35" s="1" t="inlineStr"/>
      <c r="B35" s="1" t="inlineStr"/>
      <c r="C35" s="1" t="inlineStr"/>
      <c r="D35" s="1" t="inlineStr"/>
      <c r="E35" s="1" t="inlineStr"/>
      <c r="F35" s="1" t="inlineStr"/>
      <c r="G35" s="1" t="inlineStr"/>
      <c r="H35" s="1" t="inlineStr">
        <is>
          <t>On the permission dialog, tap Allow. &lt;9253ef287211a96261d15d2522d1499f880b411f5e49851b98bae34f3403ab9d&gt;</t>
        </is>
      </c>
      <c r="I35" s="1" t="inlineStr">
        <is>
          <t>CS</t>
        </is>
      </c>
      <c r="J35" s="1" t="inlineStr">
        <is>
          <t>Click allow &lt;9253ef287211a96261d15d2522d1499f880b411f5e49851b98bae34f3403ab9d&gt;</t>
        </is>
      </c>
      <c r="K35" s="1" t="inlineStr">
        <is>
          <t>CS</t>
        </is>
      </c>
      <c r="L35" s="1" t="inlineStr"/>
      <c r="M35" s="1" t="inlineStr"/>
      <c r="N35" s="1" t="inlineStr"/>
      <c r="O35" s="1" t="inlineStr"/>
    </row>
    <row r="36">
      <c r="A36" s="1" t="inlineStr"/>
      <c r="B36" s="1" t="inlineStr"/>
      <c r="C36" s="1" t="inlineStr"/>
      <c r="D36" s="1" t="inlineStr"/>
      <c r="E36" s="1" t="inlineStr"/>
      <c r="F36" s="1" t="inlineStr"/>
      <c r="G36" s="1" t="inlineStr"/>
      <c r="H36" s="1" t="inlineStr">
        <is>
          <t>Open the navigation menu by tapping Navigate up. &lt;3abd760d81519f7d0b2fe5daa74c918b40f9496bef2bf776dd7b0d8e95a47b49&gt;</t>
        </is>
      </c>
      <c r="I36" s="1" t="inlineStr">
        <is>
          <t>CS</t>
        </is>
      </c>
      <c r="J36" s="1" t="inlineStr">
        <is>
          <t>Click the navigation drawer button, i.e., the menu option &lt;3abd760d81519f7d0b2fe5daa74c918b40f9496bef2bf776dd7b0d8e95a47b49&gt;</t>
        </is>
      </c>
      <c r="K36" s="1" t="inlineStr">
        <is>
          <t>CS</t>
        </is>
      </c>
      <c r="L36" s="1" t="inlineStr"/>
      <c r="M36" s="1" t="inlineStr"/>
      <c r="N36" s="1" t="inlineStr"/>
      <c r="O36" s="1" t="inlineStr"/>
    </row>
    <row r="37">
      <c r="A37" s="1" t="inlineStr"/>
      <c r="B37" s="1" t="inlineStr"/>
      <c r="C37" s="1" t="inlineStr"/>
      <c r="D37" s="1" t="inlineStr"/>
      <c r="E37" s="1" t="inlineStr"/>
      <c r="F37" s="1" t="inlineStr"/>
      <c r="G37" s="1" t="inlineStr"/>
      <c r="H37" s="1" t="inlineStr">
        <is>
          <t>Select FTP server from the navigation drawer. &lt;ed4ddd149d2da1bda9c6a957048313602988bce3f183bd199efeacece662aeec&gt;</t>
        </is>
      </c>
      <c r="I37" s="1" t="inlineStr">
        <is>
          <t>CS</t>
        </is>
      </c>
      <c r="J37" s="1" t="inlineStr">
        <is>
          <t>Click FTP server &lt;ed4ddd149d2da1bda9c6a957048313602988bce3f183bd199efeacece662aeec&gt;</t>
        </is>
      </c>
      <c r="K37" s="1" t="inlineStr">
        <is>
          <t>CS</t>
        </is>
      </c>
      <c r="L37" s="1" t="inlineStr"/>
      <c r="M37" s="1" t="inlineStr"/>
      <c r="N37" s="1" t="inlineStr"/>
      <c r="O37" s="1" t="inlineStr"/>
    </row>
    <row r="38">
      <c r="A38" s="1" t="inlineStr"/>
      <c r="B38" s="1" t="inlineStr"/>
      <c r="C38" s="1" t="inlineStr"/>
      <c r="D38" s="1" t="inlineStr"/>
      <c r="E38" s="1" t="inlineStr"/>
      <c r="F38" s="1" t="inlineStr"/>
      <c r="G38" s="1" t="inlineStr"/>
      <c r="H38" s="1" t="inlineStr">
        <is>
          <t>Tap the FTP server status switch while it is OFF to turn it ON. &lt;5f369cd30bd1e5644d294c31e5ff58277cad40b2633f69cc4105944721df8b1b&gt;</t>
        </is>
      </c>
      <c r="I38" s="1" t="inlineStr">
        <is>
          <t>CS</t>
        </is>
      </c>
      <c r="J38" s="1" t="inlineStr">
        <is>
          <t>Click the status toggle button (switch server off) &lt;5f369cd30bd1e5644d294c31e5ff58277cad40b2633f69cc4105944721df8b1b&gt;</t>
        </is>
      </c>
      <c r="K38" s="1" t="inlineStr">
        <is>
          <t>CS</t>
        </is>
      </c>
      <c r="L38" s="1" t="inlineStr"/>
      <c r="M38" s="1" t="inlineStr"/>
      <c r="N38" s="1" t="inlineStr"/>
      <c r="O38" s="1" t="inlineStr"/>
    </row>
    <row r="39">
      <c r="A39" s="1" t="inlineStr"/>
      <c r="B39" s="1" t="inlineStr"/>
      <c r="C39" s="1" t="inlineStr"/>
      <c r="D39" s="1" t="inlineStr"/>
      <c r="E39" s="1" t="inlineStr"/>
      <c r="F39" s="1" t="inlineStr"/>
      <c r="G39" s="1" t="inlineStr"/>
      <c r="H39" s="1" t="inlineStr">
        <is>
          <t>Tap the FTP server status switch while it is ON to turn it OFF. &lt;8453ee6186ad267c55c0f443ad2d1644911453cf4f005a06837b415345db6be5&gt;</t>
        </is>
      </c>
      <c r="I39" s="1" t="inlineStr">
        <is>
          <t>CS</t>
        </is>
      </c>
      <c r="J39" s="1" t="inlineStr">
        <is>
          <t>Click the status toggle button (switch server on) &lt;8453ee6186ad267c55c0f443ad2d1644911453cf4f005a06837b415345db6be5 &gt;</t>
        </is>
      </c>
      <c r="K39" s="1" t="inlineStr">
        <is>
          <t>CS</t>
        </is>
      </c>
      <c r="L39" s="1" t="inlineStr"/>
      <c r="M39" s="1" t="inlineStr"/>
      <c r="N39" s="1" t="inlineStr"/>
      <c r="O39" s="1" t="inlineStr"/>
    </row>
    <row r="40">
      <c r="A40" s="1" t="inlineStr"/>
      <c r="B40" s="1" t="inlineStr"/>
      <c r="C40" s="1" t="inlineStr"/>
      <c r="D40" s="1" t="inlineStr"/>
      <c r="E40" s="1" t="inlineStr"/>
      <c r="F40" s="1" t="inlineStr"/>
      <c r="G40" s="1" t="inlineStr"/>
      <c r="H40" s="1" t="inlineStr">
        <is>
          <t>Leave the FTP server screen by tapping Navigate up. &lt;f5deb5a7a067fcecd183ba802aa26e2dfb3c5e38306d9407fd3b178866210afb&gt;</t>
        </is>
      </c>
      <c r="I40" s="1" t="inlineStr">
        <is>
          <t>ES</t>
        </is>
      </c>
      <c r="J40" s="1" t="inlineStr"/>
      <c r="K40" s="1" t="inlineStr">
        <is>
          <t>ES</t>
        </is>
      </c>
      <c r="L40" s="1" t="inlineStr"/>
      <c r="M40" s="1" t="inlineStr"/>
      <c r="N40" s="1" t="inlineStr"/>
      <c r="O40" s="1" t="inlineStr"/>
    </row>
    <row r="41">
      <c r="A41" s="1" t="inlineStr"/>
      <c r="B41" s="1" t="inlineStr"/>
      <c r="C41" s="1" t="inlineStr"/>
      <c r="D41" s="1" t="inlineStr"/>
      <c r="E41" s="1" t="inlineStr"/>
      <c r="F41" s="1" t="inlineStr"/>
      <c r="G41" s="1" t="inlineStr"/>
      <c r="H41" s="1" t="inlineStr">
        <is>
          <t>Tap the list item to return to the FTP server screen path context. &lt;6766d1c12b54808176b7d8e110b78ee25e2843492f806acedcc0d8e1da70972c&gt;</t>
        </is>
      </c>
      <c r="I41" s="1" t="inlineStr">
        <is>
          <t>ES</t>
        </is>
      </c>
      <c r="J41" s="1" t="inlineStr"/>
      <c r="K41" s="1" t="inlineStr">
        <is>
          <t>ES</t>
        </is>
      </c>
      <c r="L41" s="1" t="inlineStr"/>
      <c r="M41" s="1" t="inlineStr"/>
      <c r="N41" s="1" t="inlineStr"/>
      <c r="O41" s="1" t="inlineStr"/>
    </row>
    <row r="42">
      <c r="A42" s="1" t="inlineStr"/>
      <c r="B42" s="1" t="inlineStr"/>
      <c r="C42" s="1" t="inlineStr"/>
      <c r="D42" s="1" t="inlineStr"/>
      <c r="E42" s="1" t="inlineStr"/>
      <c r="F42" s="1" t="inlineStr"/>
      <c r="G42" s="1" t="inlineStr"/>
      <c r="H42" s="1" t="inlineStr">
        <is>
          <t>Open Recents using the system Back/Recents control. &lt;944abf1e97748f2436418aea5aa65a35e80ea307f807f0264ae85d2c80188e7c&gt;</t>
        </is>
      </c>
      <c r="I42" s="1" t="inlineStr">
        <is>
          <t>ES</t>
        </is>
      </c>
      <c r="J42" s="1" t="inlineStr"/>
      <c r="K42" s="1" t="inlineStr">
        <is>
          <t>ES</t>
        </is>
      </c>
      <c r="L42" s="1" t="inlineStr"/>
      <c r="M42" s="1" t="inlineStr"/>
      <c r="N42" s="1" t="inlineStr"/>
      <c r="O42" s="1" t="inlineStr"/>
    </row>
    <row r="43">
      <c r="A43" s="1" t="inlineStr"/>
      <c r="B43" s="1" t="inlineStr"/>
      <c r="C43" s="1" t="inlineStr"/>
      <c r="D43" s="1" t="inlineStr"/>
      <c r="E43" s="1" t="inlineStr"/>
      <c r="F43" s="1" t="inlineStr"/>
      <c r="G43" s="1" t="inlineStr"/>
      <c r="H43" s="1" t="inlineStr">
        <is>
          <t>Dismiss the Files app task from Recents. &lt;b05234dc13810ef197b494fe9ce3b3d6e6927d53c722ad904f3dc53e425da84c&gt;</t>
        </is>
      </c>
      <c r="I43" s="1" t="inlineStr">
        <is>
          <t>ES</t>
        </is>
      </c>
      <c r="J43" s="1" t="inlineStr"/>
      <c r="K43" s="1" t="inlineStr">
        <is>
          <t>ES</t>
        </is>
      </c>
      <c r="L43" s="1" t="inlineStr"/>
      <c r="M43" s="1" t="inlineStr"/>
      <c r="N43" s="1" t="inlineStr"/>
      <c r="O43" s="1" t="inlineStr"/>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row>
    <row r="45">
      <c r="A45" s="1" t="n">
        <v>135</v>
      </c>
      <c r="B45" s="1" t="inlineStr">
        <is>
          <t>Wikimedia Commons</t>
        </is>
      </c>
      <c r="C45" s="1" t="inlineStr">
        <is>
          <t>bugscribe_mutli-candidate_transitions_and_screen_descriptions</t>
        </is>
      </c>
      <c r="D45" s="1" t="inlineStr">
        <is>
          <t>HC_HP</t>
        </is>
      </c>
      <c r="E45" s="1" t="inlineStr">
        <is>
          <t>Open App, swipe left four times, tap YES, tap Skip, tap YES, open the navigation drawer, select Explore, tap a picture, swipe up twice, tap a category, and tap Parent Categories to reach the Category screen in the Parent Categories tab; clicking the Parent Categories tab results in a blank page, but the Parent Categories of the current category should be displayed.</t>
        </is>
      </c>
      <c r="F45" s="1" t="inlineStr">
        <is>
          <t>Title: Parent Categories tab opens a blank page on the category details screen
Observed Behavior: On the Category Details screen in the Parent Categories tab, if the user taps the PARENT CATEGORIES tab, a blank page is shown.
Expected Behavior: The Parent Categories of the current category should be displayed.</t>
        </is>
      </c>
      <c r="G45" s="1" t="inlineStr">
        <is>
          <t>1. Open App &lt;8e8c7133a537849ea1f09bcc2625161404e90d5f93d33e01c0e90230c92a5a7a&gt;
2. Swipe Left &lt;b3d177434c01973aefd635e9b2c077d1ba46bf4e2a80da4ed89474511160b63d&gt;
3. Swipe Left &lt;e0f12adac56be76acb79d37d0e90aa329ca9de72ca3481f451a5311f141027c4&gt;
4. Swipe Left &lt;8816181fdd2f34a86b06a3bc7208d741eee74c5da62d980f09630d2cf47f6df1&gt;
5. Swipe Left &lt;b71f779a1f0963d53f1859ce1784a17f4a319592a660124b62c8f18a53cf46e8&gt;
6. Click YES &lt;9637973e88b508b265333dbf56463d16981017c2c09b4c69c5b9902e347d39e5&gt;
7. Click Skip &lt;bb009cd969fdfffc3f5842081f292334289f80d5b8fc399d1fce7ec4972173c4&gt;
8. Click YES &lt;a15358162dfdc9d6068f688c1a95276f63e1788b93f9311047afa58f7e695b0b&gt;
9. Click the navigation drawer button, i.e., the menu option &lt;1d89fc61d139df7152892234c2a3f5174669a9b3b57a90c88ff95b811528ce5e&gt;
10. Click Explore &lt;2cb54b6b2c319fadcb77770ddc6f08bc1620d2ea99af5e4315a0e04d97476e34&gt;
11. Click a picture &lt;eeb2dcc5b038a5365fc5e3968862c3ae476f8c007955b49e9585b8a8b05bc0c1&gt;
12. Swipe Up &lt;d84994fbe18eaf7d76f1dfe454496f07db5e6a0c2213452558c14661322567ac&gt;
13. Swipe Up &lt;44efd4db46c1a856f86f5f10423f5a596b37a4499b0d7f8dbc4036eba4edddf7&gt;
14. Click a category &lt;f855240a7c5488e1a1fd483c6fec3b99757ca2940f7ceba50517a42c5e6211dc&gt;
15. Click parent Categories &lt;31951cb9f29b46f435d8f75ccd1b6f6cc6ead9febe61faa81dad6e547e91a68f&gt;</t>
        </is>
      </c>
      <c r="H45" s="1" t="inlineStr">
        <is>
          <t>Open the app. &lt;8e8c7133a537849ea1f09bcc2625161404e90d5f93d33e01c0e90230c92a5a7a&gt;</t>
        </is>
      </c>
      <c r="I45" s="1" t="inlineStr">
        <is>
          <t>CS</t>
        </is>
      </c>
      <c r="J45" s="1" t="inlineStr">
        <is>
          <t>Open App &lt;8e8c7133a537849ea1f09bcc2625161404e90d5f93d33e01c0e90230c92a5a7a&gt;</t>
        </is>
      </c>
      <c r="K45" s="1" t="inlineStr">
        <is>
          <t>CS</t>
        </is>
      </c>
      <c r="L45" s="1">
        <f>IFERROR(COUNTIF(K45:K61,"CS")/COUNTA(K45:K61),"")</f>
        <v/>
      </c>
      <c r="M45" s="1">
        <f>COUNTIF(K45:K61,"CS")/15</f>
        <v/>
      </c>
      <c r="N45" s="1">
        <f>IFERROR(2*(L45*M45)/(L45+M45),"")</f>
        <v/>
      </c>
      <c r="O45" s="1" t="n">
        <v>15</v>
      </c>
    </row>
    <row r="46">
      <c r="A46" s="1" t="inlineStr"/>
      <c r="B46" s="1" t="inlineStr"/>
      <c r="C46" s="1" t="inlineStr"/>
      <c r="D46" s="1" t="inlineStr"/>
      <c r="E46" s="1" t="inlineStr"/>
      <c r="F46" s="1" t="inlineStr"/>
      <c r="G46" s="1" t="inlineStr"/>
      <c r="H46" s="1" t="inlineStr">
        <is>
          <t>Swipe left on the first onboarding screen. &lt;b3d177434c01973aefd635e9b2c077d1ba46bf4e2a80da4ed89474511160b63d&gt;</t>
        </is>
      </c>
      <c r="I46" s="1" t="inlineStr">
        <is>
          <t>CS</t>
        </is>
      </c>
      <c r="J46" s="1" t="inlineStr">
        <is>
          <t>Swipe Left &lt;b3d177434c01973aefd635e9b2c077d1ba46bf4e2a80da4ed89474511160b63d&gt;</t>
        </is>
      </c>
      <c r="K46" s="1" t="inlineStr">
        <is>
          <t>CS</t>
        </is>
      </c>
      <c r="L46" s="1" t="inlineStr"/>
      <c r="M46" s="1" t="inlineStr"/>
      <c r="N46" s="1" t="inlineStr"/>
      <c r="O46" s="1" t="inlineStr"/>
    </row>
    <row r="47">
      <c r="A47" s="1" t="inlineStr"/>
      <c r="B47" s="1" t="inlineStr"/>
      <c r="C47" s="1" t="inlineStr"/>
      <c r="D47" s="1" t="inlineStr"/>
      <c r="E47" s="1" t="inlineStr"/>
      <c r="F47" s="1" t="inlineStr"/>
      <c r="G47" s="1" t="inlineStr"/>
      <c r="H47" s="1" t="inlineStr">
        <is>
          <t>Swipe left on the next onboarding screen. &lt;e0f12adac56be76acb79d37d0e90aa329ca9de72ca3481f451a5311f141027c4&gt;</t>
        </is>
      </c>
      <c r="I47" s="1" t="inlineStr">
        <is>
          <t>CS</t>
        </is>
      </c>
      <c r="J47" s="1" t="inlineStr">
        <is>
          <t>Swipe Left &lt;e0f12adac56be76acb79d37d0e90aa329ca9de72ca3481f451a5311f141027c4&gt;</t>
        </is>
      </c>
      <c r="K47" s="1" t="inlineStr">
        <is>
          <t>CS</t>
        </is>
      </c>
      <c r="L47" s="1" t="inlineStr"/>
      <c r="M47" s="1" t="inlineStr"/>
      <c r="N47" s="1" t="inlineStr"/>
      <c r="O47" s="1" t="inlineStr"/>
    </row>
    <row r="48">
      <c r="A48" s="1" t="inlineStr"/>
      <c r="B48" s="1" t="inlineStr"/>
      <c r="C48" s="1" t="inlineStr"/>
      <c r="D48" s="1" t="inlineStr"/>
      <c r="E48" s="1" t="inlineStr"/>
      <c r="F48" s="1" t="inlineStr"/>
      <c r="G48" s="1" t="inlineStr"/>
      <c r="H48" s="1" t="inlineStr">
        <is>
          <t>Swipe left on the next onboarding screen. &lt;8816181fdd2f34a86b06a3bc7208d741eee74c5da62d980f09630d2cf47f6df1&gt;</t>
        </is>
      </c>
      <c r="I48" s="1" t="inlineStr">
        <is>
          <t>CS</t>
        </is>
      </c>
      <c r="J48" s="1" t="inlineStr">
        <is>
          <t>Swipe Left &lt;8816181fdd2f34a86b06a3bc7208d741eee74c5da62d980f09630d2cf47f6df1&gt;</t>
        </is>
      </c>
      <c r="K48" s="1" t="inlineStr">
        <is>
          <t>CS</t>
        </is>
      </c>
      <c r="L48" s="1" t="inlineStr"/>
      <c r="M48" s="1" t="inlineStr"/>
      <c r="N48" s="1" t="inlineStr"/>
      <c r="O48" s="1" t="inlineStr"/>
    </row>
    <row r="49">
      <c r="A49" s="1" t="inlineStr"/>
      <c r="B49" s="1" t="inlineStr"/>
      <c r="C49" s="1" t="inlineStr"/>
      <c r="D49" s="1" t="inlineStr"/>
      <c r="E49" s="1" t="inlineStr"/>
      <c r="F49" s="1" t="inlineStr"/>
      <c r="G49" s="1" t="inlineStr"/>
      <c r="H49" s="1" t="inlineStr">
        <is>
          <t>Swipe left on the next onboarding screen. &lt;b71f779a1f0963d53f1859ce1784a17f4a319592a660124b62c8f18a53cf46e8&gt;</t>
        </is>
      </c>
      <c r="I49" s="1" t="inlineStr">
        <is>
          <t>CS</t>
        </is>
      </c>
      <c r="J49" s="1" t="inlineStr">
        <is>
          <t>Swipe Left &lt;b71f779a1f0963d53f1859ce1784a17f4a319592a660124b62c8f18a53cf46e8&gt;</t>
        </is>
      </c>
      <c r="K49" s="1" t="inlineStr">
        <is>
          <t>CS</t>
        </is>
      </c>
      <c r="L49" s="1" t="inlineStr"/>
      <c r="M49" s="1" t="inlineStr"/>
      <c r="N49" s="1" t="inlineStr"/>
      <c r="O49" s="1" t="inlineStr"/>
    </row>
    <row r="50">
      <c r="A50" s="1" t="inlineStr"/>
      <c r="B50" s="1" t="inlineStr"/>
      <c r="C50" s="1" t="inlineStr"/>
      <c r="D50" s="1" t="inlineStr"/>
      <c r="E50" s="1" t="inlineStr"/>
      <c r="F50" s="1" t="inlineStr"/>
      <c r="G50" s="1" t="inlineStr"/>
      <c r="H50" s="1" t="inlineStr">
        <is>
          <t>Tap YES! on the final welcome screen. &lt;9637973e88b508b265333dbf56463d16981017c2c09b4c69c5b9902e347d39e5&gt;</t>
        </is>
      </c>
      <c r="I50" s="1" t="inlineStr">
        <is>
          <t>CS</t>
        </is>
      </c>
      <c r="J50" s="1" t="inlineStr">
        <is>
          <t>Click YES &lt;9637973e88b508b265333dbf56463d16981017c2c09b4c69c5b9902e347d39e5&gt;</t>
        </is>
      </c>
      <c r="K50" s="1" t="inlineStr">
        <is>
          <t>CS</t>
        </is>
      </c>
      <c r="L50" s="1" t="inlineStr"/>
      <c r="M50" s="1" t="inlineStr"/>
      <c r="N50" s="1" t="inlineStr"/>
      <c r="O50" s="1" t="inlineStr"/>
    </row>
    <row r="51">
      <c r="A51" s="1" t="inlineStr"/>
      <c r="B51" s="1" t="inlineStr"/>
      <c r="C51" s="1" t="inlineStr"/>
      <c r="D51" s="1" t="inlineStr"/>
      <c r="E51" s="1" t="inlineStr"/>
      <c r="F51" s="1" t="inlineStr"/>
      <c r="G51" s="1" t="inlineStr"/>
      <c r="H51" s="1" t="inlineStr">
        <is>
          <t>Open the navigation drawer from the Bookmarks screen. &lt;738b1be7acd4234c8f3960ed0b484e5f36707addded2ececa123a90c9fc1a1a6&gt;</t>
        </is>
      </c>
      <c r="I51" s="1" t="inlineStr">
        <is>
          <t>ES</t>
        </is>
      </c>
      <c r="J51" s="1" t="inlineStr"/>
      <c r="K51" s="1" t="inlineStr">
        <is>
          <t>ES</t>
        </is>
      </c>
      <c r="L51" s="1" t="inlineStr"/>
      <c r="M51" s="1" t="inlineStr"/>
      <c r="N51" s="1" t="inlineStr"/>
      <c r="O51" s="1" t="inlineStr"/>
    </row>
    <row r="52">
      <c r="A52" s="1" t="inlineStr"/>
      <c r="B52" s="1" t="inlineStr"/>
      <c r="C52" s="1" t="inlineStr"/>
      <c r="D52" s="1" t="inlineStr"/>
      <c r="E52" s="1" t="inlineStr"/>
      <c r="F52" s="1" t="inlineStr"/>
      <c r="G52" s="1" t="inlineStr"/>
      <c r="H52" s="1" t="inlineStr">
        <is>
          <t>Tap Log in in the navigation drawer. &lt;863b062d36cf4d96b243d1072ccaeab8367b05f9eb8d32b048e37b1b1fdf9c4e&gt;</t>
        </is>
      </c>
      <c r="I52" s="1" t="inlineStr">
        <is>
          <t>ES</t>
        </is>
      </c>
      <c r="J52" s="1" t="inlineStr"/>
      <c r="K52" s="1" t="inlineStr">
        <is>
          <t>ES</t>
        </is>
      </c>
      <c r="L52" s="1" t="inlineStr"/>
      <c r="M52" s="1" t="inlineStr"/>
      <c r="N52" s="1" t="inlineStr"/>
      <c r="O52" s="1" t="inlineStr"/>
    </row>
    <row r="53">
      <c r="A53" s="1" t="inlineStr"/>
      <c r="B53" s="1" t="inlineStr"/>
      <c r="C53" s="1" t="inlineStr"/>
      <c r="D53" s="1" t="inlineStr"/>
      <c r="E53" s="1" t="inlineStr"/>
      <c r="F53" s="1" t="inlineStr"/>
      <c r="G53" s="1" t="inlineStr"/>
      <c r="H53" s="1" t="inlineStr">
        <is>
          <t>Tap Skip on the login screen. &lt;bb009cd969fdfffc3f5842081f292334289f80d5b8fc399d1fce7ec4972173c4&gt;</t>
        </is>
      </c>
      <c r="I53" s="1" t="inlineStr">
        <is>
          <t>CS</t>
        </is>
      </c>
      <c r="J53" s="1" t="inlineStr">
        <is>
          <t>Click Skip &lt;bb009cd969fdfffc3f5842081f292334289f80d5b8fc399d1fce7ec4972173c4&gt;</t>
        </is>
      </c>
      <c r="K53" s="1" t="inlineStr">
        <is>
          <t>CS</t>
        </is>
      </c>
      <c r="L53" s="1" t="inlineStr"/>
      <c r="M53" s="1" t="inlineStr"/>
      <c r="N53" s="1" t="inlineStr"/>
      <c r="O53" s="1" t="inlineStr"/>
    </row>
    <row r="54">
      <c r="A54" s="1" t="inlineStr"/>
      <c r="B54" s="1" t="inlineStr"/>
      <c r="C54" s="1" t="inlineStr"/>
      <c r="D54" s="1" t="inlineStr"/>
      <c r="E54" s="1" t="inlineStr"/>
      <c r="F54" s="1" t="inlineStr"/>
      <c r="G54" s="1" t="inlineStr"/>
      <c r="H54" s="1" t="inlineStr">
        <is>
          <t>Tap YES on the skip-login confirmation dialog. &lt;a15358162dfdc9d6068f688c1a95276f63e1788b93f9311047afa58f7e695b0b&gt;</t>
        </is>
      </c>
      <c r="I54" s="1" t="inlineStr">
        <is>
          <t>CS</t>
        </is>
      </c>
      <c r="J54" s="1" t="inlineStr">
        <is>
          <t>Click YES &lt;a15358162dfdc9d6068f688c1a95276f63e1788b93f9311047afa58f7e695b0b&gt;</t>
        </is>
      </c>
      <c r="K54" s="1" t="inlineStr">
        <is>
          <t>CS</t>
        </is>
      </c>
      <c r="L54" s="1" t="inlineStr"/>
      <c r="M54" s="1" t="inlineStr"/>
      <c r="N54" s="1" t="inlineStr"/>
      <c r="O54" s="1" t="inlineStr"/>
    </row>
    <row r="55">
      <c r="A55" s="1" t="inlineStr"/>
      <c r="B55" s="1" t="inlineStr"/>
      <c r="C55" s="1" t="inlineStr"/>
      <c r="D55" s="1" t="inlineStr"/>
      <c r="E55" s="1" t="inlineStr"/>
      <c r="F55" s="1" t="inlineStr"/>
      <c r="G55" s="1" t="inlineStr"/>
      <c r="H55" s="1" t="inlineStr">
        <is>
          <t>Open the navigation drawer from the Explore screen. &lt;1d89fc61d139df7152892234c2a3f5174669a9b3b57a90c88ff95b811528ce5e&gt;</t>
        </is>
      </c>
      <c r="I55" s="1" t="inlineStr">
        <is>
          <t>CS</t>
        </is>
      </c>
      <c r="J55" s="1" t="inlineStr">
        <is>
          <t>Click the navigation drawer button, i.e., the menu option &lt;1d89fc61d139df7152892234c2a3f5174669a9b3b57a90c88ff95b811528ce5e&gt;</t>
        </is>
      </c>
      <c r="K55" s="1" t="inlineStr">
        <is>
          <t>CS</t>
        </is>
      </c>
      <c r="L55" s="1" t="inlineStr"/>
      <c r="M55" s="1" t="inlineStr"/>
      <c r="N55" s="1" t="inlineStr"/>
      <c r="O55" s="1" t="inlineStr"/>
    </row>
    <row r="56">
      <c r="A56" s="1" t="inlineStr"/>
      <c r="B56" s="1" t="inlineStr"/>
      <c r="C56" s="1" t="inlineStr"/>
      <c r="D56" s="1" t="inlineStr"/>
      <c r="E56" s="1" t="inlineStr"/>
      <c r="F56" s="1" t="inlineStr"/>
      <c r="G56" s="1" t="inlineStr"/>
      <c r="H56" s="1" t="inlineStr">
        <is>
          <t>Tap Explore in the navigation drawer. &lt;2cb54b6b2c319fadcb77770ddc6f08bc1620d2ea99af5e4315a0e04d97476e34&gt;</t>
        </is>
      </c>
      <c r="I56" s="1" t="inlineStr">
        <is>
          <t>CS</t>
        </is>
      </c>
      <c r="J56" s="1" t="inlineStr">
        <is>
          <t>Click Explore &lt;2cb54b6b2c319fadcb77770ddc6f08bc1620d2ea99af5e4315a0e04d97476e34&gt;</t>
        </is>
      </c>
      <c r="K56" s="1" t="inlineStr">
        <is>
          <t>CS</t>
        </is>
      </c>
      <c r="L56" s="1" t="inlineStr"/>
      <c r="M56" s="1" t="inlineStr"/>
      <c r="N56" s="1" t="inlineStr"/>
      <c r="O56" s="1" t="inlineStr"/>
    </row>
    <row r="57">
      <c r="A57" s="1" t="inlineStr"/>
      <c r="B57" s="1" t="inlineStr"/>
      <c r="C57" s="1" t="inlineStr"/>
      <c r="D57" s="1" t="inlineStr"/>
      <c r="E57" s="1" t="inlineStr"/>
      <c r="F57" s="1" t="inlineStr"/>
      <c r="G57" s="1" t="inlineStr"/>
      <c r="H57" s="1" t="inlineStr">
        <is>
          <t>Tap a picture from the Explore grid. &lt;eeb2dcc5b038a5365fc5e3968862c3ae476f8c007955b49e9585b8a8b05bc0c1&gt;</t>
        </is>
      </c>
      <c r="I57" s="1" t="inlineStr">
        <is>
          <t>CS</t>
        </is>
      </c>
      <c r="J57" s="1" t="inlineStr">
        <is>
          <t>Click a picture &lt;eeb2dcc5b038a5365fc5e3968862c3ae476f8c007955b49e9585b8a8b05bc0c1&gt;</t>
        </is>
      </c>
      <c r="K57" s="1" t="inlineStr">
        <is>
          <t>CS</t>
        </is>
      </c>
      <c r="L57" s="1" t="inlineStr"/>
      <c r="M57" s="1" t="inlineStr"/>
      <c r="N57" s="1" t="inlineStr"/>
      <c r="O57" s="1" t="inlineStr"/>
    </row>
    <row r="58">
      <c r="A58" s="1" t="inlineStr"/>
      <c r="B58" s="1" t="inlineStr"/>
      <c r="C58" s="1" t="inlineStr"/>
      <c r="D58" s="1" t="inlineStr"/>
      <c r="E58" s="1" t="inlineStr"/>
      <c r="F58" s="1" t="inlineStr"/>
      <c r="G58" s="1" t="inlineStr"/>
      <c r="H58" s="1" t="inlineStr">
        <is>
          <t>Swipe up on the media details screen. &lt;d84994fbe18eaf7d76f1dfe454496f07db5e6a0c2213452558c14661322567ac&gt;</t>
        </is>
      </c>
      <c r="I58" s="1" t="inlineStr">
        <is>
          <t>CS</t>
        </is>
      </c>
      <c r="J58" s="1" t="inlineStr">
        <is>
          <t>Swipe Up &lt;d84994fbe18eaf7d76f1dfe454496f07db5e6a0c2213452558c14661322567ac&gt;</t>
        </is>
      </c>
      <c r="K58" s="1" t="inlineStr">
        <is>
          <t>CS</t>
        </is>
      </c>
      <c r="L58" s="1" t="inlineStr"/>
      <c r="M58" s="1" t="inlineStr"/>
      <c r="N58" s="1" t="inlineStr"/>
      <c r="O58" s="1" t="inlineStr"/>
    </row>
    <row r="59">
      <c r="A59" s="1" t="inlineStr"/>
      <c r="B59" s="1" t="inlineStr"/>
      <c r="C59" s="1" t="inlineStr"/>
      <c r="D59" s="1" t="inlineStr"/>
      <c r="E59" s="1" t="inlineStr"/>
      <c r="F59" s="1" t="inlineStr"/>
      <c r="G59" s="1" t="inlineStr"/>
      <c r="H59" s="1" t="inlineStr">
        <is>
          <t>Swipe up again on the media details screen. &lt;44efd4db46c1a856f86f5f10423f5a596b37a4499b0d7f8dbc4036eba4edddf7&gt;</t>
        </is>
      </c>
      <c r="I59" s="1" t="inlineStr">
        <is>
          <t>CS</t>
        </is>
      </c>
      <c r="J59" s="1" t="inlineStr">
        <is>
          <t>Swipe Up &lt;44efd4db46c1a856f86f5f10423f5a596b37a4499b0d7f8dbc4036eba4edddf7&gt;</t>
        </is>
      </c>
      <c r="K59" s="1" t="inlineStr">
        <is>
          <t>CS</t>
        </is>
      </c>
      <c r="L59" s="1" t="inlineStr"/>
      <c r="M59" s="1" t="inlineStr"/>
      <c r="N59" s="1" t="inlineStr"/>
      <c r="O59" s="1" t="inlineStr"/>
    </row>
    <row r="60">
      <c r="A60" s="1" t="inlineStr"/>
      <c r="B60" s="1" t="inlineStr"/>
      <c r="C60" s="1" t="inlineStr"/>
      <c r="D60" s="1" t="inlineStr"/>
      <c r="E60" s="1" t="inlineStr"/>
      <c r="F60" s="1" t="inlineStr"/>
      <c r="G60" s="1" t="inlineStr"/>
      <c r="H60" s="1" t="inlineStr">
        <is>
          <t>Tap a category in the media details metadata list. &lt;f855240a7c5488e1a1fd483c6fec3b99757ca2940f7ceba50517a42c5e6211dc&gt;</t>
        </is>
      </c>
      <c r="I60" s="1" t="inlineStr">
        <is>
          <t>CS</t>
        </is>
      </c>
      <c r="J60" s="1" t="inlineStr">
        <is>
          <t>Click a category &lt;f855240a7c5488e1a1fd483c6fec3b99757ca2940f7ceba50517a42c5e6211dc&gt;</t>
        </is>
      </c>
      <c r="K60" s="1" t="inlineStr">
        <is>
          <t>CS</t>
        </is>
      </c>
      <c r="L60" s="1" t="inlineStr"/>
      <c r="M60" s="1" t="inlineStr"/>
      <c r="N60" s="1" t="inlineStr"/>
      <c r="O60" s="1" t="inlineStr"/>
    </row>
    <row r="61">
      <c r="A61" s="1" t="inlineStr"/>
      <c r="B61" s="1" t="inlineStr"/>
      <c r="C61" s="1" t="inlineStr"/>
      <c r="D61" s="1" t="inlineStr"/>
      <c r="E61" s="1" t="inlineStr"/>
      <c r="F61" s="1" t="inlineStr"/>
      <c r="G61" s="1" t="inlineStr"/>
      <c r="H61" s="1" t="inlineStr">
        <is>
          <t>Tap the PARENT CATEGORIES tab on the category details screen. &lt;31951cb9f29b46f435d8f75ccd1b6f6cc6ead9febe61faa81dad6e547e91a68f&gt;</t>
        </is>
      </c>
      <c r="I61" s="1" t="inlineStr">
        <is>
          <t>CS</t>
        </is>
      </c>
      <c r="J61" s="1" t="inlineStr">
        <is>
          <t>Click parent Categories &lt;31951cb9f29b46f435d8f75ccd1b6f6cc6ead9febe61faa81dad6e547e91a68f&gt;</t>
        </is>
      </c>
      <c r="K61" s="1" t="inlineStr">
        <is>
          <t>CS</t>
        </is>
      </c>
      <c r="L61" s="1" t="inlineStr"/>
      <c r="M61" s="1" t="inlineStr"/>
      <c r="N61" s="1" t="inlineStr"/>
      <c r="O61" s="1" t="inlineStr"/>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row>
    <row r="63">
      <c r="A63" s="1" t="n">
        <v>135</v>
      </c>
      <c r="B63" s="1" t="inlineStr">
        <is>
          <t>Wikimedia Commons</t>
        </is>
      </c>
      <c r="C63" s="1" t="inlineStr">
        <is>
          <t>bugscribe_mutli-candidate_transitions_and_screen_descriptions</t>
        </is>
      </c>
      <c r="D63" s="1" t="inlineStr">
        <is>
          <t>LC_HP</t>
        </is>
      </c>
      <c r="E63" s="1" t="inlineStr">
        <is>
          <t>The Parent Categories of the current category should be displayed.</t>
        </is>
      </c>
      <c r="F63" s="1" t="inlineStr"/>
      <c r="G63" s="1" t="inlineStr">
        <is>
          <t>1. Open App &lt;8e8c7133a537849ea1f09bcc2625161404e90d5f93d33e01c0e90230c92a5a7a&gt;
2. Swipe Left &lt;b3d177434c01973aefd635e9b2c077d1ba46bf4e2a80da4ed89474511160b63d&gt;
3. Swipe Left &lt;e0f12adac56be76acb79d37d0e90aa329ca9de72ca3481f451a5311f141027c4&gt;
4. Swipe Left &lt;8816181fdd2f34a86b06a3bc7208d741eee74c5da62d980f09630d2cf47f6df1&gt;
5. Swipe Left &lt;b71f779a1f0963d53f1859ce1784a17f4a319592a660124b62c8f18a53cf46e8&gt;
6. Click YES &lt;9637973e88b508b265333dbf56463d16981017c2c09b4c69c5b9902e347d39e5&gt;
7. Click Skip &lt;bb009cd969fdfffc3f5842081f292334289f80d5b8fc399d1fce7ec4972173c4&gt;
8. Click YES &lt;a15358162dfdc9d6068f688c1a95276f63e1788b93f9311047afa58f7e695b0b&gt;
9. Click the navigation drawer button, i.e., the menu option &lt;1d89fc61d139df7152892234c2a3f5174669a9b3b57a90c88ff95b811528ce5e&gt;
10. Click Explore &lt;2cb54b6b2c319fadcb77770ddc6f08bc1620d2ea99af5e4315a0e04d97476e34&gt;
11. Click a picture &lt;eeb2dcc5b038a5365fc5e3968862c3ae476f8c007955b49e9585b8a8b05bc0c1&gt;
12. Swipe Up &lt;d84994fbe18eaf7d76f1dfe454496f07db5e6a0c2213452558c14661322567ac&gt;
13. Swipe Up &lt;44efd4db46c1a856f86f5f10423f5a596b37a4499b0d7f8dbc4036eba4edddf7&gt;
14. Click a category &lt;f855240a7c5488e1a1fd483c6fec3b99757ca2940f7ceba50517a42c5e6211dc&gt;
15. Click parent Categories &lt;31951cb9f29b46f435d8f75ccd1b6f6cc6ead9febe61faa81dad6e547e91a68f&gt;</t>
        </is>
      </c>
      <c r="H63" s="1" t="inlineStr">
        <is>
          <t>Open the app. &lt;8e8c7133a537849ea1f09bcc2625161404e90d5f93d33e01c0e90230c92a5a7a&gt;</t>
        </is>
      </c>
      <c r="I63" s="1" t="inlineStr">
        <is>
          <t>CS</t>
        </is>
      </c>
      <c r="J63" s="1" t="inlineStr">
        <is>
          <t>Open App &lt;8e8c7133a537849ea1f09bcc2625161404e90d5f93d33e01c0e90230c92a5a7a&gt;</t>
        </is>
      </c>
      <c r="K63" s="1" t="inlineStr">
        <is>
          <t>CS</t>
        </is>
      </c>
      <c r="L63" s="1">
        <f>IFERROR(COUNTIF(K63:K77,"CS")/COUNTA(K63:K77),"")</f>
        <v/>
      </c>
      <c r="M63" s="1">
        <f>COUNTIF(K63:K77,"CS")/15</f>
        <v/>
      </c>
      <c r="N63" s="1">
        <f>IFERROR(2*(L63*M63)/(L63+M63),"")</f>
        <v/>
      </c>
      <c r="O63" s="1" t="n">
        <v>15</v>
      </c>
    </row>
    <row r="64">
      <c r="A64" s="1" t="inlineStr"/>
      <c r="B64" s="1" t="inlineStr"/>
      <c r="C64" s="1" t="inlineStr"/>
      <c r="D64" s="1" t="inlineStr"/>
      <c r="E64" s="1" t="inlineStr"/>
      <c r="F64" s="1" t="inlineStr"/>
      <c r="G64" s="1" t="inlineStr"/>
      <c r="H64" s="1" t="inlineStr">
        <is>
          <t>Swipe left through the first onboarding screen. &lt;b3d177434c01973aefd635e9b2c077d1ba46bf4e2a80da4ed89474511160b63d&gt;</t>
        </is>
      </c>
      <c r="I64" s="1" t="inlineStr">
        <is>
          <t>CS</t>
        </is>
      </c>
      <c r="J64" s="1" t="inlineStr">
        <is>
          <t>Swipe Left &lt;b3d177434c01973aefd635e9b2c077d1ba46bf4e2a80da4ed89474511160b63d&gt;</t>
        </is>
      </c>
      <c r="K64" s="1" t="inlineStr">
        <is>
          <t>CS</t>
        </is>
      </c>
      <c r="L64" s="1" t="inlineStr"/>
      <c r="M64" s="1" t="inlineStr"/>
      <c r="N64" s="1" t="inlineStr"/>
      <c r="O64" s="1" t="inlineStr"/>
    </row>
    <row r="65">
      <c r="A65" s="1" t="inlineStr"/>
      <c r="B65" s="1" t="inlineStr"/>
      <c r="C65" s="1" t="inlineStr"/>
      <c r="D65" s="1" t="inlineStr"/>
      <c r="E65" s="1" t="inlineStr"/>
      <c r="F65" s="1" t="inlineStr"/>
      <c r="G65" s="1" t="inlineStr"/>
      <c r="H65" s="1" t="inlineStr">
        <is>
          <t>Swipe left through the next onboarding screen. &lt;e0f12adac56be76acb79d37d0e90aa329ca9de72ca3481f451a5311f141027c4&gt;</t>
        </is>
      </c>
      <c r="I65" s="1" t="inlineStr">
        <is>
          <t>CS</t>
        </is>
      </c>
      <c r="J65" s="1" t="inlineStr">
        <is>
          <t>Swipe Left &lt;e0f12adac56be76acb79d37d0e90aa329ca9de72ca3481f451a5311f141027c4&gt;</t>
        </is>
      </c>
      <c r="K65" s="1" t="inlineStr">
        <is>
          <t>CS</t>
        </is>
      </c>
      <c r="L65" s="1" t="inlineStr"/>
      <c r="M65" s="1" t="inlineStr"/>
      <c r="N65" s="1" t="inlineStr"/>
      <c r="O65" s="1" t="inlineStr"/>
    </row>
    <row r="66">
      <c r="A66" s="1" t="inlineStr"/>
      <c r="B66" s="1" t="inlineStr"/>
      <c r="C66" s="1" t="inlineStr"/>
      <c r="D66" s="1" t="inlineStr"/>
      <c r="E66" s="1" t="inlineStr"/>
      <c r="F66" s="1" t="inlineStr"/>
      <c r="G66" s="1" t="inlineStr"/>
      <c r="H66" s="1" t="inlineStr">
        <is>
          <t>Swipe left through the next onboarding screen. &lt;8816181fdd2f34a86b06a3bc7208d741eee74c5da62d980f09630d2cf47f6df1&gt;</t>
        </is>
      </c>
      <c r="I66" s="1" t="inlineStr">
        <is>
          <t>CS</t>
        </is>
      </c>
      <c r="J66" s="1" t="inlineStr">
        <is>
          <t>Swipe Left &lt;8816181fdd2f34a86b06a3bc7208d741eee74c5da62d980f09630d2cf47f6df1&gt;</t>
        </is>
      </c>
      <c r="K66" s="1" t="inlineStr">
        <is>
          <t>CS</t>
        </is>
      </c>
      <c r="L66" s="1" t="inlineStr"/>
      <c r="M66" s="1" t="inlineStr"/>
      <c r="N66" s="1" t="inlineStr"/>
      <c r="O66" s="1" t="inlineStr"/>
    </row>
    <row r="67">
      <c r="A67" s="1" t="inlineStr"/>
      <c r="B67" s="1" t="inlineStr"/>
      <c r="C67" s="1" t="inlineStr"/>
      <c r="D67" s="1" t="inlineStr"/>
      <c r="E67" s="1" t="inlineStr"/>
      <c r="F67" s="1" t="inlineStr"/>
      <c r="G67" s="1" t="inlineStr"/>
      <c r="H67" s="1" t="inlineStr">
        <is>
          <t>Swipe left through the next onboarding screen. &lt;b71f779a1f0963d53f1859ce1784a17f4a319592a660124b62c8f18a53cf46e8&gt;</t>
        </is>
      </c>
      <c r="I67" s="1" t="inlineStr">
        <is>
          <t>CS</t>
        </is>
      </c>
      <c r="J67" s="1" t="inlineStr">
        <is>
          <t>Swipe Left &lt;b71f779a1f0963d53f1859ce1784a17f4a319592a660124b62c8f18a53cf46e8&gt;</t>
        </is>
      </c>
      <c r="K67" s="1" t="inlineStr">
        <is>
          <t>CS</t>
        </is>
      </c>
      <c r="L67" s="1" t="inlineStr"/>
      <c r="M67" s="1" t="inlineStr"/>
      <c r="N67" s="1" t="inlineStr"/>
      <c r="O67" s="1" t="inlineStr"/>
    </row>
    <row r="68">
      <c r="A68" s="1" t="inlineStr"/>
      <c r="B68" s="1" t="inlineStr"/>
      <c r="C68" s="1" t="inlineStr"/>
      <c r="D68" s="1" t="inlineStr"/>
      <c r="E68" s="1" t="inlineStr"/>
      <c r="F68" s="1" t="inlineStr"/>
      <c r="G68" s="1" t="inlineStr"/>
      <c r="H68" s="1" t="inlineStr">
        <is>
          <t>Tap "YES!" to finish onboarding. &lt;9637973e88b508b265333dbf56463d16981017c2c09b4c69c5b9902e347d39e5&gt;</t>
        </is>
      </c>
      <c r="I68" s="1" t="inlineStr">
        <is>
          <t>CS</t>
        </is>
      </c>
      <c r="J68" s="1" t="inlineStr">
        <is>
          <t>Click YES &lt;9637973e88b508b265333dbf56463d16981017c2c09b4c69c5b9902e347d39e5&gt;</t>
        </is>
      </c>
      <c r="K68" s="1" t="inlineStr">
        <is>
          <t>CS</t>
        </is>
      </c>
      <c r="L68" s="1" t="inlineStr"/>
      <c r="M68" s="1" t="inlineStr"/>
      <c r="N68" s="1" t="inlineStr"/>
      <c r="O68" s="1" t="inlineStr"/>
    </row>
    <row r="69">
      <c r="A69" s="1" t="inlineStr"/>
      <c r="B69" s="1" t="inlineStr"/>
      <c r="C69" s="1" t="inlineStr"/>
      <c r="D69" s="1" t="inlineStr"/>
      <c r="E69" s="1" t="inlineStr"/>
      <c r="F69" s="1" t="inlineStr"/>
      <c r="G69" s="1" t="inlineStr"/>
      <c r="H69" s="1" t="inlineStr">
        <is>
          <t>Tap "Skip" on the login screen. &lt;bb009cd969fdfffc3f5842081f292334289f80d5b8fc399d1fce7ec4972173c4&gt;</t>
        </is>
      </c>
      <c r="I69" s="1" t="inlineStr">
        <is>
          <t>CS</t>
        </is>
      </c>
      <c r="J69" s="1" t="inlineStr">
        <is>
          <t>Click Skip &lt;bb009cd969fdfffc3f5842081f292334289f80d5b8fc399d1fce7ec4972173c4&gt;</t>
        </is>
      </c>
      <c r="K69" s="1" t="inlineStr">
        <is>
          <t>CS</t>
        </is>
      </c>
      <c r="L69" s="1" t="inlineStr"/>
      <c r="M69" s="1" t="inlineStr"/>
      <c r="N69" s="1" t="inlineStr"/>
      <c r="O69" s="1" t="inlineStr"/>
    </row>
    <row r="70">
      <c r="A70" s="1" t="inlineStr"/>
      <c r="B70" s="1" t="inlineStr"/>
      <c r="C70" s="1" t="inlineStr"/>
      <c r="D70" s="1" t="inlineStr"/>
      <c r="E70" s="1" t="inlineStr"/>
      <c r="F70" s="1" t="inlineStr"/>
      <c r="G70" s="1" t="inlineStr"/>
      <c r="H70" s="1" t="inlineStr">
        <is>
          <t>Tap "YES" to confirm skipping login. &lt;a15358162dfdc9d6068f688c1a95276f63e1788b93f9311047afa58f7e695b0b&gt;</t>
        </is>
      </c>
      <c r="I70" s="1" t="inlineStr">
        <is>
          <t>CS</t>
        </is>
      </c>
      <c r="J70" s="1" t="inlineStr">
        <is>
          <t>Click YES &lt;a15358162dfdc9d6068f688c1a95276f63e1788b93f9311047afa58f7e695b0b&gt;</t>
        </is>
      </c>
      <c r="K70" s="1" t="inlineStr">
        <is>
          <t>CS</t>
        </is>
      </c>
      <c r="L70" s="1" t="inlineStr"/>
      <c r="M70" s="1" t="inlineStr"/>
      <c r="N70" s="1" t="inlineStr"/>
      <c r="O70" s="1" t="inlineStr"/>
    </row>
    <row r="71">
      <c r="A71" s="1" t="inlineStr"/>
      <c r="B71" s="1" t="inlineStr"/>
      <c r="C71" s="1" t="inlineStr"/>
      <c r="D71" s="1" t="inlineStr"/>
      <c r="E71" s="1" t="inlineStr"/>
      <c r="F71" s="1" t="inlineStr"/>
      <c r="G71" s="1" t="inlineStr"/>
      <c r="H71" s="1" t="inlineStr">
        <is>
          <t>Swipe up in Explore to reach a screen with a media item. &lt;8a5e9e75126660d60392ee6c2946d0f28be30676865462118ea818c1459fda98&gt;</t>
        </is>
      </c>
      <c r="I71" s="1" t="inlineStr">
        <is>
          <t>ES</t>
        </is>
      </c>
      <c r="J71" s="1" t="inlineStr"/>
      <c r="K71" s="1" t="inlineStr">
        <is>
          <t>ES</t>
        </is>
      </c>
      <c r="L71" s="1" t="inlineStr"/>
      <c r="M71" s="1" t="inlineStr"/>
      <c r="N71" s="1" t="inlineStr"/>
      <c r="O71" s="1" t="inlineStr"/>
    </row>
    <row r="72">
      <c r="A72" s="1" t="inlineStr"/>
      <c r="B72" s="1" t="inlineStr"/>
      <c r="C72" s="1" t="inlineStr"/>
      <c r="D72" s="1" t="inlineStr"/>
      <c r="E72" s="1" t="inlineStr"/>
      <c r="F72" s="1" t="inlineStr"/>
      <c r="G72" s="1" t="inlineStr"/>
      <c r="H72" s="1" t="inlineStr">
        <is>
          <t>Open a media item from Explore. &lt;eeb2dcc5b038a5365fc5e3968862c3ae476f8c007955b49e9585b8a8b05bc0c1&gt;</t>
        </is>
      </c>
      <c r="I72" s="1" t="inlineStr">
        <is>
          <t>CS</t>
        </is>
      </c>
      <c r="J72" s="1" t="inlineStr">
        <is>
          <t>Click a picture &lt;eeb2dcc5b038a5365fc5e3968862c3ae476f8c007955b49e9585b8a8b05bc0c1&gt;</t>
        </is>
      </c>
      <c r="K72" s="1" t="inlineStr">
        <is>
          <t>CS</t>
        </is>
      </c>
      <c r="L72" s="1" t="inlineStr"/>
      <c r="M72" s="1" t="inlineStr"/>
      <c r="N72" s="1" t="inlineStr"/>
      <c r="O72" s="1" t="inlineStr"/>
    </row>
    <row r="73">
      <c r="A73" s="1" t="inlineStr"/>
      <c r="B73" s="1" t="inlineStr"/>
      <c r="C73" s="1" t="inlineStr"/>
      <c r="D73" s="1" t="inlineStr"/>
      <c r="E73" s="1" t="inlineStr"/>
      <c r="F73" s="1" t="inlineStr"/>
      <c r="G73" s="1" t="inlineStr"/>
      <c r="H73" s="1" t="inlineStr">
        <is>
          <t>Swipe up in the media details screen to scroll toward the categories section. &lt;d84994fbe18eaf7d76f1dfe454496f07db5e6a0c2213452558c14661322567ac&gt;</t>
        </is>
      </c>
      <c r="I73" s="1" t="inlineStr">
        <is>
          <t>CS</t>
        </is>
      </c>
      <c r="J73" s="1" t="inlineStr">
        <is>
          <t>Swipe Up &lt;d84994fbe18eaf7d76f1dfe454496f07db5e6a0c2213452558c14661322567ac&gt;</t>
        </is>
      </c>
      <c r="K73" s="1" t="inlineStr">
        <is>
          <t>CS</t>
        </is>
      </c>
      <c r="L73" s="1" t="inlineStr"/>
      <c r="M73" s="1" t="inlineStr"/>
      <c r="N73" s="1" t="inlineStr"/>
      <c r="O73" s="1" t="inlineStr"/>
    </row>
    <row r="74">
      <c r="A74" s="1" t="inlineStr"/>
      <c r="B74" s="1" t="inlineStr"/>
      <c r="C74" s="1" t="inlineStr"/>
      <c r="D74" s="1" t="inlineStr"/>
      <c r="E74" s="1" t="inlineStr"/>
      <c r="F74" s="1" t="inlineStr"/>
      <c r="G74" s="1" t="inlineStr"/>
      <c r="H74" s="1" t="inlineStr">
        <is>
          <t>Continue swiping up until the category entries are visible. &lt;44efd4db46c1a856f86f5f10423f5a596b37a4499b0d7f8dbc4036eba4edddf7&gt;</t>
        </is>
      </c>
      <c r="I74" s="1" t="inlineStr">
        <is>
          <t>CS</t>
        </is>
      </c>
      <c r="J74" s="1" t="inlineStr">
        <is>
          <t>Swipe Up &lt;44efd4db46c1a856f86f5f10423f5a596b37a4499b0d7f8dbc4036eba4edddf7&gt;</t>
        </is>
      </c>
      <c r="K74" s="1" t="inlineStr">
        <is>
          <t>CS</t>
        </is>
      </c>
      <c r="L74" s="1" t="inlineStr"/>
      <c r="M74" s="1" t="inlineStr"/>
      <c r="N74" s="1" t="inlineStr"/>
      <c r="O74" s="1" t="inlineStr"/>
    </row>
    <row r="75">
      <c r="A75" s="1" t="inlineStr"/>
      <c r="B75" s="1" t="inlineStr"/>
      <c r="C75" s="1" t="inlineStr"/>
      <c r="D75" s="1" t="inlineStr"/>
      <c r="E75" s="1" t="inlineStr"/>
      <c r="F75" s="1" t="inlineStr"/>
      <c r="G75" s="1" t="inlineStr"/>
      <c r="H75" s="1" t="inlineStr">
        <is>
          <t>Tap the category "Focus stacking images of insects." &lt;f855240a7c5488e1a1fd483c6fec3b99757ca2940f7ceba50517a42c5e6211dc&gt;</t>
        </is>
      </c>
      <c r="I75" s="1" t="inlineStr">
        <is>
          <t>CS</t>
        </is>
      </c>
      <c r="J75" s="1" t="inlineStr">
        <is>
          <t>Click a category &lt;f855240a7c5488e1a1fd483c6fec3b99757ca2940f7ceba50517a42c5e6211dc&gt;</t>
        </is>
      </c>
      <c r="K75" s="1" t="inlineStr">
        <is>
          <t>CS</t>
        </is>
      </c>
      <c r="L75" s="1" t="inlineStr"/>
      <c r="M75" s="1" t="inlineStr"/>
      <c r="N75" s="1" t="inlineStr"/>
      <c r="O75" s="1" t="inlineStr"/>
    </row>
    <row r="76">
      <c r="A76" s="1" t="inlineStr"/>
      <c r="B76" s="1" t="inlineStr"/>
      <c r="C76" s="1" t="inlineStr"/>
      <c r="D76" s="1" t="inlineStr"/>
      <c r="E76" s="1" t="inlineStr"/>
      <c r="F76" s="1" t="inlineStr"/>
      <c r="G76" s="1" t="inlineStr"/>
      <c r="H76" s="1" t="inlineStr">
        <is>
          <t>Tap the "PARENT CATEGORIES" tab on the category screen. &lt;31951cb9f29b46f435d8f75ccd1b6f6cc6ead9febe61faa81dad6e547e91a68f&gt;</t>
        </is>
      </c>
      <c r="I76" s="1" t="inlineStr">
        <is>
          <t>CS</t>
        </is>
      </c>
      <c r="J76" s="1" t="inlineStr">
        <is>
          <t>Click parent Categories &lt;31951cb9f29b46f435d8f75ccd1b6f6cc6ead9febe61faa81dad6e547e91a68f&gt;</t>
        </is>
      </c>
      <c r="K76" s="1" t="inlineStr">
        <is>
          <t>CS</t>
        </is>
      </c>
      <c r="L76" s="1" t="inlineStr"/>
      <c r="M76" s="1" t="inlineStr"/>
      <c r="N76" s="1" t="inlineStr"/>
      <c r="O76" s="1" t="inlineStr"/>
    </row>
    <row r="77">
      <c r="A77" s="1" t="inlineStr"/>
      <c r="B77" s="1" t="inlineStr"/>
      <c r="C77" s="1" t="inlineStr"/>
      <c r="D77" s="1" t="inlineStr"/>
      <c r="E77" s="1" t="inlineStr"/>
      <c r="F77" s="1" t="inlineStr"/>
      <c r="G77" s="1" t="inlineStr"/>
      <c r="H77" s="1" t="inlineStr">
        <is>
          <t>Tap the "PARENT CATEGORIES" tab again. &lt;6be714d047ab21effd5c736c32506e18bd08b4c8e44ecb14442be1e47d5253a5&gt;</t>
        </is>
      </c>
      <c r="I77" s="1" t="inlineStr">
        <is>
          <t>ES</t>
        </is>
      </c>
      <c r="J77" s="1" t="inlineStr"/>
      <c r="K77" s="1" t="inlineStr">
        <is>
          <t>ES</t>
        </is>
      </c>
      <c r="L77" s="1" t="inlineStr"/>
      <c r="M77" s="1" t="inlineStr"/>
      <c r="N77" s="1" t="inlineStr"/>
      <c r="O77" s="1" t="inlineStr"/>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row>
    <row r="79">
      <c r="A79" s="1" t="n">
        <v>135</v>
      </c>
      <c r="B79" s="1" t="inlineStr">
        <is>
          <t>Wikimedia Commons</t>
        </is>
      </c>
      <c r="C79" s="1" t="inlineStr">
        <is>
          <t>bugscribe_mutli-candidate_transitions_and_screen_descriptions</t>
        </is>
      </c>
      <c r="D79" s="1" t="inlineStr">
        <is>
          <t>MC_HP</t>
        </is>
      </c>
      <c r="E79" s="1" t="inlineStr">
        <is>
          <t>Clicking the Parent Categories tab results in a blank page, but the Parent Categories of the current category should be displayed.</t>
        </is>
      </c>
      <c r="F79" s="1" t="inlineStr"/>
      <c r="G79" s="1" t="inlineStr">
        <is>
          <t>1. Open App &lt;8e8c7133a537849ea1f09bcc2625161404e90d5f93d33e01c0e90230c92a5a7a&gt;
2. Swipe Left &lt;b3d177434c01973aefd635e9b2c077d1ba46bf4e2a80da4ed89474511160b63d&gt;
3. Swipe Left &lt;e0f12adac56be76acb79d37d0e90aa329ca9de72ca3481f451a5311f141027c4&gt;
4. Swipe Left &lt;8816181fdd2f34a86b06a3bc7208d741eee74c5da62d980f09630d2cf47f6df1&gt;
5. Swipe Left &lt;b71f779a1f0963d53f1859ce1784a17f4a319592a660124b62c8f18a53cf46e8&gt;
6. Click YES &lt;9637973e88b508b265333dbf56463d16981017c2c09b4c69c5b9902e347d39e5&gt;
7. Click Skip &lt;bb009cd969fdfffc3f5842081f292334289f80d5b8fc399d1fce7ec4972173c4&gt;
8. Click YES &lt;a15358162dfdc9d6068f688c1a95276f63e1788b93f9311047afa58f7e695b0b&gt;
9. Click the navigation drawer button, i.e., the menu option &lt;1d89fc61d139df7152892234c2a3f5174669a9b3b57a90c88ff95b811528ce5e&gt;
10. Click Explore &lt;2cb54b6b2c319fadcb77770ddc6f08bc1620d2ea99af5e4315a0e04d97476e34&gt;
11. Click a picture &lt;eeb2dcc5b038a5365fc5e3968862c3ae476f8c007955b49e9585b8a8b05bc0c1&gt;
12. Swipe Up &lt;d84994fbe18eaf7d76f1dfe454496f07db5e6a0c2213452558c14661322567ac&gt;
13. Swipe Up &lt;44efd4db46c1a856f86f5f10423f5a596b37a4499b0d7f8dbc4036eba4edddf7&gt;
14. Click a category &lt;f855240a7c5488e1a1fd483c6fec3b99757ca2940f7ceba50517a42c5e6211dc&gt;
15. Click parent Categories &lt;31951cb9f29b46f435d8f75ccd1b6f6cc6ead9febe61faa81dad6e547e91a68f&gt;</t>
        </is>
      </c>
      <c r="H79" s="1" t="inlineStr">
        <is>
          <t>Open the app. &lt;8e8c7133a537849ea1f09bcc2625161404e90d5f93d33e01c0e90230c92a5a7a&gt;</t>
        </is>
      </c>
      <c r="I79" s="1" t="inlineStr">
        <is>
          <t>CS</t>
        </is>
      </c>
      <c r="J79" s="1" t="inlineStr">
        <is>
          <t>Open App &lt;8e8c7133a537849ea1f09bcc2625161404e90d5f93d33e01c0e90230c92a5a7a&gt;</t>
        </is>
      </c>
      <c r="K79" s="1" t="inlineStr">
        <is>
          <t>CS</t>
        </is>
      </c>
      <c r="L79" s="1">
        <f>IFERROR(COUNTIF(K79:K94,"CS")/COUNTA(K79:K94),"")</f>
        <v/>
      </c>
      <c r="M79" s="1">
        <f>COUNTIF(K79:K94,"CS")/15</f>
        <v/>
      </c>
      <c r="N79" s="1">
        <f>IFERROR(2*(L79*M79)/(L79+M79),"")</f>
        <v/>
      </c>
      <c r="O79" s="1" t="n">
        <v>15</v>
      </c>
    </row>
    <row r="80">
      <c r="A80" s="1" t="inlineStr"/>
      <c r="B80" s="1" t="inlineStr"/>
      <c r="C80" s="1" t="inlineStr"/>
      <c r="D80" s="1" t="inlineStr"/>
      <c r="E80" s="1" t="inlineStr"/>
      <c r="F80" s="1" t="inlineStr"/>
      <c r="G80" s="1" t="inlineStr"/>
      <c r="H80" s="1" t="inlineStr">
        <is>
          <t>Swipe left on the first welcome screen. &lt;b3d177434c01973aefd635e9b2c077d1ba46bf4e2a80da4ed89474511160b63d&gt;</t>
        </is>
      </c>
      <c r="I80" s="1" t="inlineStr">
        <is>
          <t>CS</t>
        </is>
      </c>
      <c r="J80" s="1" t="inlineStr">
        <is>
          <t>Swipe Left &lt;b3d177434c01973aefd635e9b2c077d1ba46bf4e2a80da4ed89474511160b63d&gt;</t>
        </is>
      </c>
      <c r="K80" s="1" t="inlineStr">
        <is>
          <t>CS</t>
        </is>
      </c>
      <c r="L80" s="1" t="inlineStr"/>
      <c r="M80" s="1" t="inlineStr"/>
      <c r="N80" s="1" t="inlineStr"/>
      <c r="O80" s="1" t="inlineStr"/>
    </row>
    <row r="81">
      <c r="A81" s="1" t="inlineStr"/>
      <c r="B81" s="1" t="inlineStr"/>
      <c r="C81" s="1" t="inlineStr"/>
      <c r="D81" s="1" t="inlineStr"/>
      <c r="E81" s="1" t="inlineStr"/>
      <c r="F81" s="1" t="inlineStr"/>
      <c r="G81" s="1" t="inlineStr"/>
      <c r="H81" s="1" t="inlineStr">
        <is>
          <t>Swipe left on the second welcome screen. &lt;e0f12adac56be76acb79d37d0e90aa329ca9de72ca3481f451a5311f141027c4&gt;</t>
        </is>
      </c>
      <c r="I81" s="1" t="inlineStr">
        <is>
          <t>CS</t>
        </is>
      </c>
      <c r="J81" s="1" t="inlineStr">
        <is>
          <t>Swipe Left &lt;e0f12adac56be76acb79d37d0e90aa329ca9de72ca3481f451a5311f141027c4&gt;</t>
        </is>
      </c>
      <c r="K81" s="1" t="inlineStr">
        <is>
          <t>CS</t>
        </is>
      </c>
      <c r="L81" s="1" t="inlineStr"/>
      <c r="M81" s="1" t="inlineStr"/>
      <c r="N81" s="1" t="inlineStr"/>
      <c r="O81" s="1" t="inlineStr"/>
    </row>
    <row r="82">
      <c r="A82" s="1" t="inlineStr"/>
      <c r="B82" s="1" t="inlineStr"/>
      <c r="C82" s="1" t="inlineStr"/>
      <c r="D82" s="1" t="inlineStr"/>
      <c r="E82" s="1" t="inlineStr"/>
      <c r="F82" s="1" t="inlineStr"/>
      <c r="G82" s="1" t="inlineStr"/>
      <c r="H82" s="1" t="inlineStr">
        <is>
          <t>Swipe left on the third welcome screen. &lt;8816181fdd2f34a86b06a3bc7208d741eee74c5da62d980f09630d2cf47f6df1&gt;</t>
        </is>
      </c>
      <c r="I82" s="1" t="inlineStr">
        <is>
          <t>CS</t>
        </is>
      </c>
      <c r="J82" s="1" t="inlineStr">
        <is>
          <t>Swipe Left &lt;8816181fdd2f34a86b06a3bc7208d741eee74c5da62d980f09630d2cf47f6df1&gt;</t>
        </is>
      </c>
      <c r="K82" s="1" t="inlineStr">
        <is>
          <t>CS</t>
        </is>
      </c>
      <c r="L82" s="1" t="inlineStr"/>
      <c r="M82" s="1" t="inlineStr"/>
      <c r="N82" s="1" t="inlineStr"/>
      <c r="O82" s="1" t="inlineStr"/>
    </row>
    <row r="83">
      <c r="A83" s="1" t="inlineStr"/>
      <c r="B83" s="1" t="inlineStr"/>
      <c r="C83" s="1" t="inlineStr"/>
      <c r="D83" s="1" t="inlineStr"/>
      <c r="E83" s="1" t="inlineStr"/>
      <c r="F83" s="1" t="inlineStr"/>
      <c r="G83" s="1" t="inlineStr"/>
      <c r="H83" s="1" t="inlineStr">
        <is>
          <t>Swipe left to the final welcome screen. &lt;b71f779a1f0963d53f1859ce1784a17f4a319592a660124b62c8f18a53cf46e8&gt;</t>
        </is>
      </c>
      <c r="I83" s="1" t="inlineStr">
        <is>
          <t>CS</t>
        </is>
      </c>
      <c r="J83" s="1" t="inlineStr">
        <is>
          <t>Swipe Left &lt;b71f779a1f0963d53f1859ce1784a17f4a319592a660124b62c8f18a53cf46e8&gt;</t>
        </is>
      </c>
      <c r="K83" s="1" t="inlineStr">
        <is>
          <t>CS</t>
        </is>
      </c>
      <c r="L83" s="1" t="inlineStr"/>
      <c r="M83" s="1" t="inlineStr"/>
      <c r="N83" s="1" t="inlineStr"/>
      <c r="O83" s="1" t="inlineStr"/>
    </row>
    <row r="84">
      <c r="A84" s="1" t="inlineStr"/>
      <c r="B84" s="1" t="inlineStr"/>
      <c r="C84" s="1" t="inlineStr"/>
      <c r="D84" s="1" t="inlineStr"/>
      <c r="E84" s="1" t="inlineStr"/>
      <c r="F84" s="1" t="inlineStr"/>
      <c r="G84" s="1" t="inlineStr"/>
      <c r="H84" s="1" t="inlineStr">
        <is>
          <t>Tap the YES! button to finish onboarding. &lt;9637973e88b508b265333dbf56463d16981017c2c09b4c69c5b9902e347d39e5&gt;</t>
        </is>
      </c>
      <c r="I84" s="1" t="inlineStr">
        <is>
          <t>CS</t>
        </is>
      </c>
      <c r="J84" s="1" t="inlineStr">
        <is>
          <t>Click YES &lt;9637973e88b508b265333dbf56463d16981017c2c09b4c69c5b9902e347d39e5&gt;</t>
        </is>
      </c>
      <c r="K84" s="1" t="inlineStr">
        <is>
          <t>CS</t>
        </is>
      </c>
      <c r="L84" s="1" t="inlineStr"/>
      <c r="M84" s="1" t="inlineStr"/>
      <c r="N84" s="1" t="inlineStr"/>
      <c r="O84" s="1" t="inlineStr"/>
    </row>
    <row r="85">
      <c r="A85" s="1" t="inlineStr"/>
      <c r="B85" s="1" t="inlineStr"/>
      <c r="C85" s="1" t="inlineStr"/>
      <c r="D85" s="1" t="inlineStr"/>
      <c r="E85" s="1" t="inlineStr"/>
      <c r="F85" s="1" t="inlineStr"/>
      <c r="G85" s="1" t="inlineStr"/>
      <c r="H85" s="1" t="inlineStr">
        <is>
          <t>Open the navigation drawer from the Bookmarks screen. &lt;738b1be7acd4234c8f3960ed0b484e5f36707addded2ececa123a90c9fc1a1a6&gt;</t>
        </is>
      </c>
      <c r="I85" s="1" t="inlineStr">
        <is>
          <t>CS</t>
        </is>
      </c>
      <c r="J85" s="1" t="inlineStr">
        <is>
          <t>Click the navigation drawer button, i.e., the menu option &lt;1d89fc61d139df7152892234c2a3f5174669a9b3b57a90c88ff95b811528ce5e&gt;</t>
        </is>
      </c>
      <c r="K85" s="1" t="inlineStr">
        <is>
          <t>CS</t>
        </is>
      </c>
      <c r="L85" s="1" t="inlineStr"/>
      <c r="M85" s="1" t="inlineStr"/>
      <c r="N85" s="1" t="inlineStr"/>
      <c r="O85" s="1" t="inlineStr"/>
    </row>
    <row r="86">
      <c r="A86" s="1" t="inlineStr"/>
      <c r="B86" s="1" t="inlineStr"/>
      <c r="C86" s="1" t="inlineStr"/>
      <c r="D86" s="1" t="inlineStr"/>
      <c r="E86" s="1" t="inlineStr"/>
      <c r="F86" s="1" t="inlineStr"/>
      <c r="G86" s="1" t="inlineStr"/>
      <c r="H86" s="1" t="inlineStr">
        <is>
          <t>Tap Log in in the navigation drawer. &lt;863b062d36cf4d96b243d1072ccaeab8367b05f9eb8d32b048e37b1b1fdf9c4e&gt;</t>
        </is>
      </c>
      <c r="I86" s="1" t="inlineStr">
        <is>
          <t>ES</t>
        </is>
      </c>
      <c r="J86" s="1" t="inlineStr"/>
      <c r="K86" s="1" t="inlineStr">
        <is>
          <t>ES</t>
        </is>
      </c>
      <c r="L86" s="1" t="inlineStr"/>
      <c r="M86" s="1" t="inlineStr"/>
      <c r="N86" s="1" t="inlineStr"/>
      <c r="O86" s="1" t="inlineStr"/>
    </row>
    <row r="87">
      <c r="A87" s="1" t="inlineStr"/>
      <c r="B87" s="1" t="inlineStr"/>
      <c r="C87" s="1" t="inlineStr"/>
      <c r="D87" s="1" t="inlineStr"/>
      <c r="E87" s="1" t="inlineStr"/>
      <c r="F87" s="1" t="inlineStr"/>
      <c r="G87" s="1" t="inlineStr"/>
      <c r="H87" s="1" t="inlineStr">
        <is>
          <t>Tap Skip on the login screen. &lt;bb009cd969fdfffc3f5842081f292334289f80d5b8fc399d1fce7ec4972173c4&gt;</t>
        </is>
      </c>
      <c r="I87" s="1" t="inlineStr">
        <is>
          <t>CS</t>
        </is>
      </c>
      <c r="J87" s="1" t="inlineStr">
        <is>
          <t>Click Skip &lt;bb009cd969fdfffc3f5842081f292334289f80d5b8fc399d1fce7ec4972173c4&gt;</t>
        </is>
      </c>
      <c r="K87" s="1" t="inlineStr">
        <is>
          <t>CS</t>
        </is>
      </c>
      <c r="L87" s="1" t="inlineStr"/>
      <c r="M87" s="1" t="inlineStr"/>
      <c r="N87" s="1" t="inlineStr"/>
      <c r="O87" s="1" t="inlineStr"/>
    </row>
    <row r="88">
      <c r="A88" s="1" t="inlineStr"/>
      <c r="B88" s="1" t="inlineStr"/>
      <c r="C88" s="1" t="inlineStr"/>
      <c r="D88" s="1" t="inlineStr"/>
      <c r="E88" s="1" t="inlineStr"/>
      <c r="F88" s="1" t="inlineStr"/>
      <c r="G88" s="1" t="inlineStr"/>
      <c r="H88" s="1" t="inlineStr">
        <is>
          <t>Confirm skipping login by tapping YES. &lt;a15358162dfdc9d6068f688c1a95276f63e1788b93f9311047afa58f7e695b0b&gt;</t>
        </is>
      </c>
      <c r="I88" s="1" t="inlineStr">
        <is>
          <t>CS</t>
        </is>
      </c>
      <c r="J88" s="1" t="inlineStr">
        <is>
          <t>Click YES &lt;a15358162dfdc9d6068f688c1a95276f63e1788b93f9311047afa58f7e695b0b&gt;</t>
        </is>
      </c>
      <c r="K88" s="1" t="inlineStr">
        <is>
          <t>CS</t>
        </is>
      </c>
      <c r="L88" s="1" t="inlineStr"/>
      <c r="M88" s="1" t="inlineStr"/>
      <c r="N88" s="1" t="inlineStr"/>
      <c r="O88" s="1" t="inlineStr"/>
    </row>
    <row r="89">
      <c r="A89" s="1" t="inlineStr"/>
      <c r="B89" s="1" t="inlineStr"/>
      <c r="C89" s="1" t="inlineStr"/>
      <c r="D89" s="1" t="inlineStr"/>
      <c r="E89" s="1" t="inlineStr"/>
      <c r="F89" s="1" t="inlineStr"/>
      <c r="G89" s="1" t="inlineStr"/>
      <c r="H89" s="1" t="inlineStr">
        <is>
          <t>Swipe up on the Explore screen. &lt;8a5e9e75126660d60392ee6c2946d0f28be30676865462118ea818c1459fda98&gt;</t>
        </is>
      </c>
      <c r="I89" s="1" t="inlineStr">
        <is>
          <t>ES</t>
        </is>
      </c>
      <c r="J89" s="1" t="inlineStr"/>
      <c r="K89" s="1" t="inlineStr">
        <is>
          <t>ES</t>
        </is>
      </c>
      <c r="L89" s="1" t="inlineStr"/>
      <c r="M89" s="1" t="inlineStr"/>
      <c r="N89" s="1" t="inlineStr"/>
      <c r="O89" s="1" t="inlineStr"/>
    </row>
    <row r="90">
      <c r="A90" s="1" t="inlineStr"/>
      <c r="B90" s="1" t="inlineStr"/>
      <c r="C90" s="1" t="inlineStr"/>
      <c r="D90" s="1" t="inlineStr"/>
      <c r="E90" s="1" t="inlineStr"/>
      <c r="F90" s="1" t="inlineStr"/>
      <c r="G90" s="1" t="inlineStr"/>
      <c r="H90" s="1" t="inlineStr">
        <is>
          <t>Select a media item from the Explore grid. &lt;eeb2dcc5b038a5365fc5e3968862c3ae476f8c007955b49e9585b8a8b05bc0c1&gt;</t>
        </is>
      </c>
      <c r="I90" s="1" t="inlineStr">
        <is>
          <t>CS</t>
        </is>
      </c>
      <c r="J90" s="1" t="inlineStr">
        <is>
          <t>Click a picture &lt;eeb2dcc5b038a5365fc5e3968862c3ae476f8c007955b49e9585b8a8b05bc0c1&gt;</t>
        </is>
      </c>
      <c r="K90" s="1" t="inlineStr">
        <is>
          <t>CS</t>
        </is>
      </c>
      <c r="L90" s="1" t="inlineStr"/>
      <c r="M90" s="1" t="inlineStr"/>
      <c r="N90" s="1" t="inlineStr"/>
      <c r="O90" s="1" t="inlineStr"/>
    </row>
    <row r="91">
      <c r="A91" s="1" t="inlineStr"/>
      <c r="B91" s="1" t="inlineStr"/>
      <c r="C91" s="1" t="inlineStr"/>
      <c r="D91" s="1" t="inlineStr"/>
      <c r="E91" s="1" t="inlineStr"/>
      <c r="F91" s="1" t="inlineStr"/>
      <c r="G91" s="1" t="inlineStr"/>
      <c r="H91" s="1" t="inlineStr">
        <is>
          <t>Swipe up on the media details screen to reach the categories section. &lt;d84994fbe18eaf7d76f1dfe454496f07db5e6a0c2213452558c14661322567ac&gt;</t>
        </is>
      </c>
      <c r="I91" s="1" t="inlineStr">
        <is>
          <t>CS</t>
        </is>
      </c>
      <c r="J91" s="1" t="inlineStr">
        <is>
          <t>Swipe Up &lt;d84994fbe18eaf7d76f1dfe454496f07db5e6a0c2213452558c14661322567ac&gt;</t>
        </is>
      </c>
      <c r="K91" s="1" t="inlineStr">
        <is>
          <t>CS</t>
        </is>
      </c>
      <c r="L91" s="1" t="inlineStr"/>
      <c r="M91" s="1" t="inlineStr"/>
      <c r="N91" s="1" t="inlineStr"/>
      <c r="O91" s="1" t="inlineStr"/>
    </row>
    <row r="92">
      <c r="A92" s="1" t="inlineStr"/>
      <c r="B92" s="1" t="inlineStr"/>
      <c r="C92" s="1" t="inlineStr"/>
      <c r="D92" s="1" t="inlineStr"/>
      <c r="E92" s="1" t="inlineStr"/>
      <c r="F92" s="1" t="inlineStr"/>
      <c r="G92" s="1" t="inlineStr"/>
      <c r="H92" s="1" t="inlineStr">
        <is>
          <t>Swipe up again to reveal the category entry. &lt;44efd4db46c1a856f86f5f10423f5a596b37a4499b0d7f8dbc4036eba4edddf7&gt;</t>
        </is>
      </c>
      <c r="I92" s="1" t="inlineStr">
        <is>
          <t>CS</t>
        </is>
      </c>
      <c r="J92" s="1" t="inlineStr">
        <is>
          <t>Swipe Up &lt;44efd4db46c1a856f86f5f10423f5a596b37a4499b0d7f8dbc4036eba4edddf7&gt;</t>
        </is>
      </c>
      <c r="K92" s="1" t="inlineStr">
        <is>
          <t>CS</t>
        </is>
      </c>
      <c r="L92" s="1" t="inlineStr"/>
      <c r="M92" s="1" t="inlineStr"/>
      <c r="N92" s="1" t="inlineStr"/>
      <c r="O92" s="1" t="inlineStr"/>
    </row>
    <row r="93">
      <c r="A93" s="1" t="inlineStr"/>
      <c r="B93" s="1" t="inlineStr"/>
      <c r="C93" s="1" t="inlineStr"/>
      <c r="D93" s="1" t="inlineStr"/>
      <c r="E93" s="1" t="inlineStr"/>
      <c r="F93" s="1" t="inlineStr"/>
      <c r="G93" s="1" t="inlineStr"/>
      <c r="H93" s="1" t="inlineStr">
        <is>
          <t>Tap the category link "Focus stacking images of insects". &lt;f855240a7c5488e1a1fd483c6fec3b99757ca2940f7ceba50517a42c5e6211dc&gt;</t>
        </is>
      </c>
      <c r="I93" s="1" t="inlineStr">
        <is>
          <t>CS</t>
        </is>
      </c>
      <c r="J93" s="1" t="inlineStr">
        <is>
          <t>Click a category &lt;f855240a7c5488e1a1fd483c6fec3b99757ca2940f7ceba50517a42c5e6211dc&gt;</t>
        </is>
      </c>
      <c r="K93" s="1" t="inlineStr">
        <is>
          <t>CS</t>
        </is>
      </c>
      <c r="L93" s="1" t="inlineStr"/>
      <c r="M93" s="1" t="inlineStr"/>
      <c r="N93" s="1" t="inlineStr"/>
      <c r="O93" s="1" t="inlineStr"/>
    </row>
    <row r="94">
      <c r="A94" s="1" t="inlineStr"/>
      <c r="B94" s="1" t="inlineStr"/>
      <c r="C94" s="1" t="inlineStr"/>
      <c r="D94" s="1" t="inlineStr"/>
      <c r="E94" s="1" t="inlineStr"/>
      <c r="F94" s="1" t="inlineStr"/>
      <c r="G94" s="1" t="inlineStr"/>
      <c r="H94" s="1" t="inlineStr">
        <is>
          <t>Tap the PARENT CATEGORIES tab. &lt;31951cb9f29b46f435d8f75ccd1b6f6cc6ead9febe61faa81dad6e547e91a68f&gt;</t>
        </is>
      </c>
      <c r="I94" s="1" t="inlineStr">
        <is>
          <t>CS</t>
        </is>
      </c>
      <c r="J94" s="1" t="inlineStr">
        <is>
          <t>Click parent Categories &lt;31951cb9f29b46f435d8f75ccd1b6f6cc6ead9febe61faa81dad6e547e91a68f&gt;</t>
        </is>
      </c>
      <c r="K94" s="1" t="inlineStr">
        <is>
          <t>CS</t>
        </is>
      </c>
      <c r="L94" s="1" t="inlineStr"/>
      <c r="M94" s="1" t="inlineStr"/>
      <c r="N94" s="1" t="inlineStr"/>
      <c r="O94" s="1" t="inlineStr"/>
    </row>
    <row r="95">
      <c r="A95" s="2" t="inlineStr"/>
      <c r="B95" s="2" t="inlineStr"/>
      <c r="C95" s="2" t="inlineStr"/>
      <c r="D95" s="2" t="inlineStr"/>
      <c r="E95" s="2" t="inlineStr"/>
      <c r="F95" s="2" t="inlineStr"/>
      <c r="G95" s="2" t="inlineStr"/>
      <c r="H95" s="2" t="inlineStr"/>
      <c r="I95" s="2" t="inlineStr"/>
      <c r="J95" s="2" t="inlineStr"/>
      <c r="K95" s="2" t="inlineStr"/>
      <c r="L95" s="2" t="inlineStr"/>
      <c r="M95" s="2" t="inlineStr"/>
      <c r="N95" s="2" t="inlineStr"/>
      <c r="O95" s="2" t="inlineStr"/>
    </row>
    <row r="96">
      <c r="A96" s="1" t="n">
        <v>2</v>
      </c>
      <c r="B96" s="1" t="inlineStr">
        <is>
          <t>Family Finance</t>
        </is>
      </c>
      <c r="C96" s="1" t="inlineStr">
        <is>
          <t>bugscribe_mutli-candidate_transitions_and_screen_descriptions</t>
        </is>
      </c>
      <c r="D96" s="1" t="inlineStr">
        <is>
          <t>HC_HP</t>
        </is>
      </c>
      <c r="E96" s="1" t="inlineStr">
        <is>
          <t>On Display of Incomes by Articles pop-up of the Reports screen changing the report appearance from 'view values' to 'use percent values' causes the application to crash, but the appearance of the report should be changed to 'use percent values'. I took these steps: Open the app, tap Allow, select Report, choose Incomes By Articles or Expenses By Articles, tap View, check 'view values', check 'use percent values', and tap OK.</t>
        </is>
      </c>
      <c r="F96" s="1" t="inlineStr"/>
      <c r="G96" s="1" t="inlineStr">
        <is>
          <t>1. Open app &lt;fa8baa4de2d1015dd5da60a38bcc25a725e918d25bafb6b4b8bafe8f727ccfcf&gt;
2. Click allow button &lt;8407e328c4a9d75304cf3edee19af6616ae654caca4e79229e0df0c827909816&gt;
3. Click Report &lt;9a4f389ec16dc06bc51519fd35159ab49c667d2cae3e0323df9bf08cd98bda88
4. Click Incomes By Articles or expenses by articles &lt;c010db1badf9deb0564b10c46916ad505c7d1acca0f840fdc12c4867c81990d0&gt;
5. Click View Button &lt;c7c181b4d07f85b6731edefa0c51eca8637b088e992c8d07e2349379db3cd413&gt;
6. Click view values checkbox &lt;dc01c666d81db01f9ceb751ff256033bcc27f75ab0951ef2f9eff49e39233d64&gt;
7. Click use percent values checkbox &lt;c3292f1abb084883da9f0bf06776dd33343b186505d53bedfbb8b83717e4b319&gt;
8. Click OK &lt;26c0ae2d76021672cf80c07928394773aec07f5be831f91ab09b5f7c2392b6aa&gt;</t>
        </is>
      </c>
      <c r="H96" s="1" t="inlineStr">
        <is>
          <t>Open the app. &lt;fa8baa4de2d1015dd5da60a38bcc25a725e918d25bafb6b4b8bafe8f727ccfcf&gt;</t>
        </is>
      </c>
      <c r="I96" s="1" t="inlineStr">
        <is>
          <t>CS</t>
        </is>
      </c>
      <c r="J96" s="1" t="inlineStr">
        <is>
          <t>Open app &lt;fa8baa4de2d1015dd5da60a38bcc25a725e918d25bafb6b4b8bafe8f727ccfcf&gt;</t>
        </is>
      </c>
      <c r="K96" s="1" t="inlineStr">
        <is>
          <t>CS</t>
        </is>
      </c>
      <c r="L96" s="1">
        <f>IFERROR(COUNTIF(K96:K103,"CS")/COUNTA(K96:K103),"")</f>
        <v/>
      </c>
      <c r="M96" s="1">
        <f>COUNTIF(K96:K103,"CS")/8</f>
        <v/>
      </c>
      <c r="N96" s="1">
        <f>IFERROR(2*(L96*M96)/(L96+M96),"")</f>
        <v/>
      </c>
      <c r="O96" s="1" t="n">
        <v>8</v>
      </c>
    </row>
    <row r="97">
      <c r="A97" s="1" t="inlineStr"/>
      <c r="B97" s="1" t="inlineStr"/>
      <c r="C97" s="1" t="inlineStr"/>
      <c r="D97" s="1" t="inlineStr"/>
      <c r="E97" s="1" t="inlineStr"/>
      <c r="F97" s="1" t="inlineStr"/>
      <c r="G97" s="1" t="inlineStr"/>
      <c r="H97" s="1" t="inlineStr">
        <is>
          <t>Tap Allow on the SMS permission dialog. &lt;8407e328c4a9d75304cf3edee19af6616ae654caca4e79229e0df0c827909816&gt;</t>
        </is>
      </c>
      <c r="I97" s="1" t="inlineStr">
        <is>
          <t>CS</t>
        </is>
      </c>
      <c r="J97" s="1" t="inlineStr">
        <is>
          <t>Click allow button &lt;8407e328c4a9d75304cf3edee19af6616ae654caca4e79229e0df0c827909816&gt;</t>
        </is>
      </c>
      <c r="K97" s="1" t="inlineStr">
        <is>
          <t>CS</t>
        </is>
      </c>
      <c r="L97" s="1" t="inlineStr"/>
      <c r="M97" s="1" t="inlineStr"/>
      <c r="N97" s="1" t="inlineStr"/>
      <c r="O97" s="1" t="inlineStr"/>
    </row>
    <row r="98">
      <c r="A98" s="1" t="inlineStr"/>
      <c r="B98" s="1" t="inlineStr"/>
      <c r="C98" s="1" t="inlineStr"/>
      <c r="D98" s="1" t="inlineStr"/>
      <c r="E98" s="1" t="inlineStr"/>
      <c r="F98" s="1" t="inlineStr"/>
      <c r="G98" s="1" t="inlineStr"/>
      <c r="H98" s="1" t="inlineStr">
        <is>
          <t>Tap Reports from the main screen. &lt;9a4f389ec16dc06bc51519fd35159ab49c667d2cae3e0323df9bf08cd98bda88&gt;</t>
        </is>
      </c>
      <c r="I98" s="1" t="inlineStr">
        <is>
          <t>CS</t>
        </is>
      </c>
      <c r="J98" s="1" t="inlineStr">
        <is>
          <t>Click Report &lt;9a4f389ec16dc06bc51519fd35159ab49c667d2cae3e0323df9bf08cd98bda88</t>
        </is>
      </c>
      <c r="K98" s="1" t="inlineStr">
        <is>
          <t>CS</t>
        </is>
      </c>
      <c r="L98" s="1" t="inlineStr"/>
      <c r="M98" s="1" t="inlineStr"/>
      <c r="N98" s="1" t="inlineStr"/>
      <c r="O98" s="1" t="inlineStr"/>
    </row>
    <row r="99">
      <c r="A99" s="1" t="inlineStr"/>
      <c r="B99" s="1" t="inlineStr"/>
      <c r="C99" s="1" t="inlineStr"/>
      <c r="D99" s="1" t="inlineStr"/>
      <c r="E99" s="1" t="inlineStr"/>
      <c r="F99" s="1" t="inlineStr"/>
      <c r="G99" s="1" t="inlineStr"/>
      <c r="H99" s="1" t="inlineStr">
        <is>
          <t>Select the Incomes by Articles tab. &lt;2965c3b4debc48c038e78f98002ad0883abcdd8571e00c1287e80981331ef5b4&gt;</t>
        </is>
      </c>
      <c r="I99" s="1" t="inlineStr">
        <is>
          <t>CS</t>
        </is>
      </c>
      <c r="J99" s="1" t="inlineStr">
        <is>
          <t>Click Incomes By Articles or expenses by articles &lt;c010db1badf9deb0564b10c46916ad505c7d1acca0f840fdc12c4867c81990d0&gt;</t>
        </is>
      </c>
      <c r="K99" s="1" t="inlineStr">
        <is>
          <t>CS</t>
        </is>
      </c>
      <c r="L99" s="1" t="inlineStr"/>
      <c r="M99" s="1" t="inlineStr"/>
      <c r="N99" s="1" t="inlineStr"/>
      <c r="O99" s="1" t="inlineStr"/>
    </row>
    <row r="100">
      <c r="A100" s="1" t="inlineStr"/>
      <c r="B100" s="1" t="inlineStr"/>
      <c r="C100" s="1" t="inlineStr"/>
      <c r="D100" s="1" t="inlineStr"/>
      <c r="E100" s="1" t="inlineStr"/>
      <c r="F100" s="1" t="inlineStr"/>
      <c r="G100" s="1" t="inlineStr"/>
      <c r="H100" s="1" t="inlineStr">
        <is>
          <t>Tap Display to open the Display of Incomes by Articles dialog. &lt;c7c181b4d07f85b6731edefa0c51eca8637b088e992c8d07e2349379db3cd413&gt;</t>
        </is>
      </c>
      <c r="I100" s="1" t="inlineStr">
        <is>
          <t>CS</t>
        </is>
      </c>
      <c r="J100" s="1" t="inlineStr">
        <is>
          <t>Click View Button &lt;c7c181b4d07f85b6731edefa0c51eca8637b088e992c8d07e2349379db3cd413&gt;</t>
        </is>
      </c>
      <c r="K100" s="1" t="inlineStr">
        <is>
          <t>CS</t>
        </is>
      </c>
      <c r="L100" s="1" t="inlineStr"/>
      <c r="M100" s="1" t="inlineStr"/>
      <c r="N100" s="1" t="inlineStr"/>
      <c r="O100" s="1" t="inlineStr"/>
    </row>
    <row r="101">
      <c r="A101" s="1" t="inlineStr"/>
      <c r="B101" s="1" t="inlineStr"/>
      <c r="C101" s="1" t="inlineStr"/>
      <c r="D101" s="1" t="inlineStr"/>
      <c r="E101" s="1" t="inlineStr"/>
      <c r="F101" s="1" t="inlineStr"/>
      <c r="G101" s="1" t="inlineStr"/>
      <c r="H101" s="1" t="inlineStr">
        <is>
          <t>Check the View values option. &lt;dc01c666d81db01f9ceb751ff256033bcc27f75ab0951ef2f9eff49e39233d64&gt;</t>
        </is>
      </c>
      <c r="I101" s="1" t="inlineStr">
        <is>
          <t>CS</t>
        </is>
      </c>
      <c r="J101" s="1" t="inlineStr">
        <is>
          <t>Click view values checkbox &lt;dc01c666d81db01f9ceb751ff256033bcc27f75ab0951ef2f9eff49e39233d64&gt;</t>
        </is>
      </c>
      <c r="K101" s="1" t="inlineStr">
        <is>
          <t>CS</t>
        </is>
      </c>
      <c r="L101" s="1" t="inlineStr"/>
      <c r="M101" s="1" t="inlineStr"/>
      <c r="N101" s="1" t="inlineStr"/>
      <c r="O101" s="1" t="inlineStr"/>
    </row>
    <row r="102">
      <c r="A102" s="1" t="inlineStr"/>
      <c r="B102" s="1" t="inlineStr"/>
      <c r="C102" s="1" t="inlineStr"/>
      <c r="D102" s="1" t="inlineStr"/>
      <c r="E102" s="1" t="inlineStr"/>
      <c r="F102" s="1" t="inlineStr"/>
      <c r="G102" s="1" t="inlineStr"/>
      <c r="H102" s="1" t="inlineStr">
        <is>
          <t>Check the Use percent values option. &lt;c3292f1abb084883da9f0bf06776dd33343b186505d53bedfbb8b83717e4b319&gt;</t>
        </is>
      </c>
      <c r="I102" s="1" t="inlineStr">
        <is>
          <t>CS</t>
        </is>
      </c>
      <c r="J102" s="1" t="inlineStr">
        <is>
          <t>Click use percent values checkbox &lt;c3292f1abb084883da9f0bf06776dd33343b186505d53bedfbb8b83717e4b319&gt;</t>
        </is>
      </c>
      <c r="K102" s="1" t="inlineStr">
        <is>
          <t>CS</t>
        </is>
      </c>
      <c r="L102" s="1" t="inlineStr"/>
      <c r="M102" s="1" t="inlineStr"/>
      <c r="N102" s="1" t="inlineStr"/>
      <c r="O102" s="1" t="inlineStr"/>
    </row>
    <row r="103">
      <c r="A103" s="1" t="inlineStr"/>
      <c r="B103" s="1" t="inlineStr"/>
      <c r="C103" s="1" t="inlineStr"/>
      <c r="D103" s="1" t="inlineStr"/>
      <c r="E103" s="1" t="inlineStr"/>
      <c r="F103" s="1" t="inlineStr"/>
      <c r="G103" s="1" t="inlineStr"/>
      <c r="H103" s="1" t="inlineStr">
        <is>
          <t>Tap OK. &lt;26c0ae2d76021672cf80c07928394773aec07f5be831f91ab09b5f7c2392b6aa&gt;</t>
        </is>
      </c>
      <c r="I103" s="1" t="inlineStr">
        <is>
          <t>CS</t>
        </is>
      </c>
      <c r="J103" s="1" t="inlineStr">
        <is>
          <t>Click OK &lt;26c0ae2d76021672cf80c07928394773aec07f5be831f91ab09b5f7c2392b6aa&gt;</t>
        </is>
      </c>
      <c r="K103" s="1" t="inlineStr">
        <is>
          <t>CS</t>
        </is>
      </c>
      <c r="L103" s="1" t="inlineStr"/>
      <c r="M103" s="1" t="inlineStr"/>
      <c r="N103" s="1" t="inlineStr"/>
      <c r="O103" s="1" t="inlineStr"/>
    </row>
    <row r="104">
      <c r="A104" s="2" t="inlineStr"/>
      <c r="B104" s="2" t="inlineStr"/>
      <c r="C104" s="2" t="inlineStr"/>
      <c r="D104" s="2" t="inlineStr"/>
      <c r="E104" s="2" t="inlineStr"/>
      <c r="F104" s="2" t="inlineStr"/>
      <c r="G104" s="2" t="inlineStr"/>
      <c r="H104" s="2" t="inlineStr"/>
      <c r="I104" s="2" t="inlineStr"/>
      <c r="J104" s="2" t="inlineStr"/>
      <c r="K104" s="2" t="inlineStr"/>
      <c r="L104" s="2" t="inlineStr"/>
      <c r="M104" s="2" t="inlineStr"/>
      <c r="N104" s="2" t="inlineStr"/>
      <c r="O104" s="2" t="inlineStr"/>
    </row>
    <row r="105">
      <c r="A105" s="1" t="n">
        <v>2</v>
      </c>
      <c r="B105" s="1" t="inlineStr">
        <is>
          <t>Family Finance</t>
        </is>
      </c>
      <c r="C105" s="1" t="inlineStr">
        <is>
          <t>bugscribe_mutli-candidate_transitions_and_screen_descriptions</t>
        </is>
      </c>
      <c r="D105" s="1" t="inlineStr">
        <is>
          <t>MC_MP</t>
        </is>
      </c>
      <c r="E105" s="1" t="inlineStr">
        <is>
          <t>Changing the report appearance from 'view values' to 'use percent values' results in the application crashing.</t>
        </is>
      </c>
      <c r="F105" s="1" t="inlineStr"/>
      <c r="G105" s="1" t="inlineStr">
        <is>
          <t>1. Open app &lt;fa8baa4de2d1015dd5da60a38bcc25a725e918d25bafb6b4b8bafe8f727ccfcf&gt;
2. Click allow button &lt;8407e328c4a9d75304cf3edee19af6616ae654caca4e79229e0df0c827909816&gt;
3. Click Report &lt;9a4f389ec16dc06bc51519fd35159ab49c667d2cae3e0323df9bf08cd98bda88
4. Click Incomes By Articles or expenses by articles &lt;c010db1badf9deb0564b10c46916ad505c7d1acca0f840fdc12c4867c81990d0&gt;
5. Click View Button &lt;c7c181b4d07f85b6731edefa0c51eca8637b088e992c8d07e2349379db3cd413&gt;
6. Click view values checkbox &lt;dc01c666d81db01f9ceb751ff256033bcc27f75ab0951ef2f9eff49e39233d64&gt;
7. Click use percent values checkbox &lt;c3292f1abb084883da9f0bf06776dd33343b186505d53bedfbb8b83717e4b319&gt;
8. Click OK &lt;26c0ae2d76021672cf80c07928394773aec07f5be831f91ab09b5f7c2392b6aa&gt;</t>
        </is>
      </c>
      <c r="H105" s="1" t="inlineStr">
        <is>
          <t>Open the app. &lt;24f7aef009bd7a8b145fd2acabd46d79833f775339f82b7248b75b22eb407522&gt;</t>
        </is>
      </c>
      <c r="I105" s="1" t="inlineStr">
        <is>
          <t>CS</t>
        </is>
      </c>
      <c r="J105" s="1" t="inlineStr">
        <is>
          <t>Open app &lt;fa8baa4de2d1015dd5da60a38bcc25a725e918d25bafb6b4b8bafe8f727ccfcf&gt;</t>
        </is>
      </c>
      <c r="K105" s="1" t="inlineStr">
        <is>
          <t>CS</t>
        </is>
      </c>
      <c r="L105" s="1">
        <f>IFERROR(COUNTIF(K105:K111,"CS")/COUNTA(K105:K111),"")</f>
        <v/>
      </c>
      <c r="M105" s="1">
        <f>COUNTIF(K105:K111,"CS")/8</f>
        <v/>
      </c>
      <c r="N105" s="1">
        <f>IFERROR(2*(L105*M105)/(L105+M105),"")</f>
        <v/>
      </c>
      <c r="O105" s="1" t="n">
        <v>8</v>
      </c>
    </row>
    <row r="106">
      <c r="A106" s="1" t="inlineStr"/>
      <c r="B106" s="1" t="inlineStr"/>
      <c r="C106" s="1" t="inlineStr"/>
      <c r="D106" s="1" t="inlineStr"/>
      <c r="E106" s="1" t="inlineStr"/>
      <c r="F106" s="1" t="inlineStr"/>
      <c r="G106" s="1" t="inlineStr"/>
      <c r="H106" s="1" t="inlineStr">
        <is>
          <t>On the initial permission screen, tap "DENY". &lt;2b209a3d55050bc8611e4799d186aac1ed51a780062d43e781082427e0523b10&gt;</t>
        </is>
      </c>
      <c r="I106" s="1" t="inlineStr">
        <is>
          <t>ES</t>
        </is>
      </c>
      <c r="J106" s="1" t="inlineStr"/>
      <c r="K106" s="1" t="inlineStr">
        <is>
          <t>ES</t>
        </is>
      </c>
      <c r="L106" s="1" t="inlineStr"/>
      <c r="M106" s="1" t="inlineStr"/>
      <c r="N106" s="1" t="inlineStr"/>
      <c r="O106" s="1" t="inlineStr"/>
    </row>
    <row r="107">
      <c r="A107" s="1" t="inlineStr"/>
      <c r="B107" s="1" t="inlineStr"/>
      <c r="C107" s="1" t="inlineStr"/>
      <c r="D107" s="1" t="inlineStr"/>
      <c r="E107" s="1" t="inlineStr"/>
      <c r="F107" s="1" t="inlineStr"/>
      <c r="G107" s="1" t="inlineStr"/>
      <c r="H107" s="1" t="inlineStr">
        <is>
          <t>On the dashboard, tap "Reports". &lt;9a4f389ec16dc06bc51519fd35159ab49c667d2cae3e0323df9bf08cd98bda88&gt;</t>
        </is>
      </c>
      <c r="I107" s="1" t="inlineStr">
        <is>
          <t>CS</t>
        </is>
      </c>
      <c r="J107" s="1" t="inlineStr">
        <is>
          <t>Click Report &lt;9a4f389ec16dc06bc51519fd35159ab49c667d2cae3e0323df9bf08cd98bda88</t>
        </is>
      </c>
      <c r="K107" s="1" t="inlineStr">
        <is>
          <t>CS</t>
        </is>
      </c>
      <c r="L107" s="1" t="inlineStr"/>
      <c r="M107" s="1" t="inlineStr"/>
      <c r="N107" s="1" t="inlineStr"/>
      <c r="O107" s="1" t="inlineStr"/>
    </row>
    <row r="108">
      <c r="A108" s="1" t="inlineStr"/>
      <c r="B108" s="1" t="inlineStr"/>
      <c r="C108" s="1" t="inlineStr"/>
      <c r="D108" s="1" t="inlineStr"/>
      <c r="E108" s="1" t="inlineStr"/>
      <c r="F108" s="1" t="inlineStr"/>
      <c r="G108" s="1" t="inlineStr"/>
      <c r="H108" s="1" t="inlineStr">
        <is>
          <t>On the Reports screen, open "Incomes by Articles". &lt;c010db1badf9deb0564b10c46916ad505c7d1acca0f840fdc12c4867c81990d0&gt;</t>
        </is>
      </c>
      <c r="I108" s="1" t="inlineStr">
        <is>
          <t>CS</t>
        </is>
      </c>
      <c r="J108" s="1" t="inlineStr">
        <is>
          <t>Click Incomes By Articles or expenses by articles &lt;c010db1badf9deb0564b10c46916ad505c7d1acca0f840fdc12c4867c81990d0&gt;</t>
        </is>
      </c>
      <c r="K108" s="1" t="inlineStr">
        <is>
          <t>CS</t>
        </is>
      </c>
      <c r="L108" s="1" t="inlineStr"/>
      <c r="M108" s="1" t="inlineStr"/>
      <c r="N108" s="1" t="inlineStr"/>
      <c r="O108" s="1" t="inlineStr"/>
    </row>
    <row r="109">
      <c r="A109" s="1" t="inlineStr"/>
      <c r="B109" s="1" t="inlineStr"/>
      <c r="C109" s="1" t="inlineStr"/>
      <c r="D109" s="1" t="inlineStr"/>
      <c r="E109" s="1" t="inlineStr"/>
      <c r="F109" s="1" t="inlineStr"/>
      <c r="G109" s="1" t="inlineStr"/>
      <c r="H109" s="1" t="inlineStr">
        <is>
          <t>On the Incomes by Articles report screen, tap "Display". &lt;c7c181b4d07f85b6731edefa0c51eca8637b088e992c8d07e2349379db3cd413&gt;</t>
        </is>
      </c>
      <c r="I109" s="1" t="inlineStr">
        <is>
          <t>CS</t>
        </is>
      </c>
      <c r="J109" s="1" t="inlineStr">
        <is>
          <t>Click View Button &lt;c7c181b4d07f85b6731edefa0c51eca8637b088e992c8d07e2349379db3cd413&gt;</t>
        </is>
      </c>
      <c r="K109" s="1" t="inlineStr">
        <is>
          <t>CS</t>
        </is>
      </c>
      <c r="L109" s="1" t="inlineStr"/>
      <c r="M109" s="1" t="inlineStr"/>
      <c r="N109" s="1" t="inlineStr"/>
      <c r="O109" s="1" t="inlineStr"/>
    </row>
    <row r="110">
      <c r="A110" s="1" t="inlineStr"/>
      <c r="B110" s="1" t="inlineStr"/>
      <c r="C110" s="1" t="inlineStr"/>
      <c r="D110" s="1" t="inlineStr"/>
      <c r="E110" s="1" t="inlineStr"/>
      <c r="F110" s="1" t="inlineStr"/>
      <c r="G110" s="1" t="inlineStr"/>
      <c r="H110" s="1" t="inlineStr">
        <is>
          <t>In the display dialog, tap "Use percent values". &lt;c3292f1abb084883da9f0bf06776dd33343b186505d53bedfbb8b83717e4b319&gt;</t>
        </is>
      </c>
      <c r="I110" s="1" t="inlineStr">
        <is>
          <t>CS</t>
        </is>
      </c>
      <c r="J110" s="1" t="inlineStr">
        <is>
          <t>Click use percent values checkbox &lt;c3292f1abb084883da9f0bf06776dd33343b186505d53bedfbb8b83717e4b319&gt;</t>
        </is>
      </c>
      <c r="K110" s="1" t="inlineStr">
        <is>
          <t>CS</t>
        </is>
      </c>
      <c r="L110" s="1" t="inlineStr"/>
      <c r="M110" s="1" t="inlineStr"/>
      <c r="N110" s="1" t="inlineStr"/>
      <c r="O110" s="1" t="inlineStr"/>
    </row>
    <row r="111">
      <c r="A111" s="1" t="inlineStr"/>
      <c r="B111" s="1" t="inlineStr"/>
      <c r="C111" s="1" t="inlineStr"/>
      <c r="D111" s="1" t="inlineStr"/>
      <c r="E111" s="1" t="inlineStr"/>
      <c r="F111" s="1" t="inlineStr"/>
      <c r="G111" s="1" t="inlineStr"/>
      <c r="H111" s="1" t="inlineStr">
        <is>
          <t>Tap "OK" to confirm the change. &lt;26c0ae2d76021672cf80c07928394773aec07f5be831f91ab09b5f7c2392b6aa&gt;</t>
        </is>
      </c>
      <c r="I111" s="1" t="inlineStr">
        <is>
          <t>CS</t>
        </is>
      </c>
      <c r="J111" s="1" t="inlineStr">
        <is>
          <t>Click OK &lt;26c0ae2d76021672cf80c07928394773aec07f5be831f91ab09b5f7c2392b6aa&gt;</t>
        </is>
      </c>
      <c r="K111" s="1" t="inlineStr">
        <is>
          <t>CS</t>
        </is>
      </c>
      <c r="L111" s="1" t="inlineStr"/>
      <c r="M111" s="1" t="inlineStr"/>
      <c r="N111" s="1" t="inlineStr"/>
      <c r="O111"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8" customWidth="1" min="4" max="4"/>
    <col width="60" customWidth="1" min="5" max="5"/>
    <col width="60" customWidth="1" min="6" max="6"/>
    <col width="60" customWidth="1" min="7" max="7"/>
    <col width="60" customWidth="1" min="8" max="8"/>
    <col width="20" customWidth="1" min="9" max="9"/>
    <col width="26" customWidth="1" min="10" max="10"/>
    <col width="26" customWidth="1" min="11" max="11"/>
    <col width="20" customWidth="1" min="12" max="12"/>
  </cols>
  <sheetData>
    <row r="1">
      <c r="A1" t="inlineStr">
        <is>
          <t>bug_id</t>
        </is>
      </c>
      <c r="B1" t="inlineStr">
        <is>
          <t>app_name</t>
        </is>
      </c>
      <c r="C1" t="inlineStr">
        <is>
          <t>agent_version</t>
        </is>
      </c>
      <c r="D1" t="inlineStr">
        <is>
          <t>description_level</t>
        </is>
      </c>
      <c r="E1" t="inlineStr">
        <is>
          <t>description_text</t>
        </is>
      </c>
      <c r="F1" t="inlineStr">
        <is>
          <t>full_generated_bug_report</t>
        </is>
      </c>
      <c r="G1" t="inlineStr">
        <is>
          <t>info_elements_gt</t>
        </is>
      </c>
      <c r="H1" t="inlineStr">
        <is>
          <t>agent_generated_info_elements</t>
        </is>
      </c>
      <c r="I1" t="inlineStr">
        <is>
          <t>buggy_behavior_grade</t>
        </is>
      </c>
      <c r="J1" t="inlineStr">
        <is>
          <t>triggering_gui_interactions_grade</t>
        </is>
      </c>
      <c r="K1" t="inlineStr">
        <is>
          <t>triggering_screen_reference_grade</t>
        </is>
      </c>
      <c r="L1" t="inlineStr">
        <is>
          <t>correct_behavior_grade</t>
        </is>
      </c>
    </row>
    <row r="2">
      <c r="A2" s="1" t="n">
        <v>135</v>
      </c>
      <c r="B2" s="1" t="inlineStr">
        <is>
          <t>Wikimedia Commons</t>
        </is>
      </c>
      <c r="C2" s="1" t="inlineStr">
        <is>
          <t>bugscribe_mutli-candidate_transitions_and_screen_descriptions</t>
        </is>
      </c>
      <c r="D2" s="1" t="inlineStr">
        <is>
          <t>HC_HP</t>
        </is>
      </c>
      <c r="E2" s="1" t="inlineStr">
        <is>
          <t>Open App, swipe left four times, tap YES, tap Skip, tap YES, open the navigation drawer, select Explore, tap a picture, swipe up twice, tap a category, and tap Parent Categories to reach the Category screen in the Parent Categories tab; clicking the Parent Categories tab results in a blank page, but the Parent Categories of the current category should be displayed.</t>
        </is>
      </c>
      <c r="F2" s="1" t="inlineStr">
        <is>
          <t>Title: Parent Categories tab opens a blank page on the category details screen
Observed Behavior: On the category details screen, if the user taps the Parent Categories tab, a blank page is shown.
Expected Behavior: The Parent Categories of the current category should be displayed.</t>
        </is>
      </c>
      <c r="G2" s="1" t="inlineStr">
        <is>
          <t>Buggy Behavior: see a blank page
Triggering GUI Interaction: clicks the Parent Categories tab
Triggering Screen Reference: Category screen, Parent Categories tab
Correct Behavior: The Parent Categories of the current category should be displayed</t>
        </is>
      </c>
      <c r="H2" s="1" t="inlineStr">
        <is>
          <t>Buggy Behavior: a blank page is shown
Triggering GUI Interactions: taps the Parent Categories tab
Triggering Screen Reference: On the category details screen
Correct Behavior: The Parent Categories of the current category should be displayed.</t>
        </is>
      </c>
      <c r="I2" s="1" t="inlineStr">
        <is>
          <t>Correct</t>
        </is>
      </c>
      <c r="J2" s="1" t="inlineStr">
        <is>
          <t>Correct</t>
        </is>
      </c>
      <c r="K2" s="1" t="inlineStr">
        <is>
          <t>Incomplete</t>
        </is>
      </c>
      <c r="L2" s="1" t="inlineStr">
        <is>
          <t>Correct</t>
        </is>
      </c>
    </row>
    <row r="3">
      <c r="A3" s="2" t="inlineStr"/>
      <c r="B3" s="2" t="inlineStr"/>
      <c r="C3" s="2" t="inlineStr"/>
      <c r="D3" s="2" t="inlineStr"/>
      <c r="E3" s="2" t="inlineStr"/>
      <c r="F3" s="2" t="inlineStr"/>
      <c r="G3" s="2" t="inlineStr"/>
      <c r="H3" s="2" t="inlineStr"/>
      <c r="I3" s="2" t="inlineStr"/>
      <c r="J3" s="2" t="inlineStr"/>
      <c r="K3" s="2" t="inlineStr"/>
      <c r="L3" s="2" t="inlineStr"/>
    </row>
    <row r="4">
      <c r="A4" s="1" t="n">
        <v>2</v>
      </c>
      <c r="B4" s="1" t="inlineStr">
        <is>
          <t>Family Finance</t>
        </is>
      </c>
      <c r="C4" s="1" t="inlineStr">
        <is>
          <t>bugscribe_mutli-candidate_transitions_and_screen_descriptions</t>
        </is>
      </c>
      <c r="D4" s="1" t="inlineStr">
        <is>
          <t>HC_HP</t>
        </is>
      </c>
      <c r="E4" s="1" t="inlineStr">
        <is>
          <t>On Display of Incomes by Articles pop-up of the Reports screen changing the report appearance from 'view values' to 'use percent values' causes the application to crash, but the appearance of the report should be changed to 'use percent values'. I took these steps: Open the app, tap Allow, select Report, choose Incomes By Articles or Expenses By Articles, tap View, check 'view values', check 'use percent values', and tap OK.</t>
        </is>
      </c>
      <c r="F4" s="1" t="inlineStr">
        <is>
          <t>Title: App crashes when applying both View values and Use percent values in the Display of Incomes by Articles dialog
Observed Behavior: On the Display of Incomes by Articles pop-up of the Reports screen, if the user checks View values, checks Use percent values, and taps OK, the application crashes.
Expected Behavior: The appearance of the report should be changed to use percent values.</t>
        </is>
      </c>
      <c r="G4" s="1" t="inlineStr">
        <is>
          <t>Buggy Behavior: the application crashes
Triggering GUI Interaction: changes the appearance of the report from 'view values' to use percent values'
Triggering Screen Reference: Display of Incomes by Articles pop-up of the Reports screen
Correct Behavior: The appearance of the report should be changed to 'use percent values'</t>
        </is>
      </c>
      <c r="H4" s="1" t="inlineStr">
        <is>
          <t>Buggy Behavior: the application crashes
Triggering GUI Interactions: checks View values, checks Use percent values, and taps OK
Triggering Screen Reference: On the Display of Incomes by Articles pop-up of the Reports screen
Correct Behavior: The appearance of the report should be changed to use percent values.</t>
        </is>
      </c>
      <c r="I4" s="1" t="inlineStr">
        <is>
          <t>Correct</t>
        </is>
      </c>
      <c r="J4" s="1" t="inlineStr">
        <is>
          <t>Correct</t>
        </is>
      </c>
      <c r="K4" s="1" t="inlineStr">
        <is>
          <t>Correct</t>
        </is>
      </c>
      <c r="L4" s="1" t="inlineStr">
        <is>
          <t>Correct</t>
        </is>
      </c>
    </row>
    <row r="5">
      <c r="A5" s="2" t="inlineStr"/>
      <c r="B5" s="2" t="inlineStr"/>
      <c r="C5" s="2" t="inlineStr"/>
      <c r="D5" s="2" t="inlineStr"/>
      <c r="E5" s="2" t="inlineStr"/>
      <c r="F5" s="2" t="inlineStr"/>
      <c r="G5" s="2" t="inlineStr"/>
      <c r="H5" s="2" t="inlineStr"/>
      <c r="I5" s="2" t="inlineStr"/>
      <c r="J5" s="2" t="inlineStr"/>
      <c r="K5" s="2" t="inlineStr"/>
      <c r="L5" s="2" t="inlineStr"/>
    </row>
    <row r="6">
      <c r="A6" s="1" t="n">
        <v>10</v>
      </c>
      <c r="B6" s="1" t="inlineStr">
        <is>
          <t>Material Files</t>
        </is>
      </c>
      <c r="C6" s="1" t="inlineStr">
        <is>
          <t>bugscribe_mutli-candidate_transitions_and_screen_descriptions</t>
        </is>
      </c>
      <c r="D6" s="1" t="inlineStr">
        <is>
          <t>HC_LP</t>
        </is>
      </c>
      <c r="E6" s="1" t="inlineStr">
        <is>
          <t>On the FTP server screen, stopping it and closing the app makes the server restart, even though it should stay stopped.</t>
        </is>
      </c>
      <c r="F6" s="1" t="inlineStr"/>
      <c r="G6" s="1" t="inlineStr">
        <is>
          <t>Buggy Behavior: the server restarts automatically
Triggering GUI Interaction: stops the FTP server and then closes the app
Triggering Screen Reference: FTP server screen
Correct Behavior: The FTP server should remain stopped</t>
        </is>
      </c>
      <c r="H6" s="1" t="inlineStr">
        <is>
          <t>Buggy Behavior: the FTP server restarts automatically after stopping it and closing the app
Triggering GUI Interactions: the user turns off the FTP server switch and then closes the app
Triggering Screen Reference: On the FTP server screen
Correct Behavior: The FTP server should stay stopped after stopping it and closing the app.</t>
        </is>
      </c>
      <c r="I6" s="1" t="inlineStr">
        <is>
          <t>Correct</t>
        </is>
      </c>
      <c r="J6" s="1" t="inlineStr">
        <is>
          <t>Correct</t>
        </is>
      </c>
      <c r="K6" s="1" t="inlineStr">
        <is>
          <t>Correct</t>
        </is>
      </c>
      <c r="L6" s="1" t="inlineStr">
        <is>
          <t>Correct</t>
        </is>
      </c>
    </row>
    <row r="7">
      <c r="A7" s="2" t="inlineStr"/>
      <c r="B7" s="2" t="inlineStr"/>
      <c r="C7" s="2" t="inlineStr"/>
      <c r="D7" s="2" t="inlineStr"/>
      <c r="E7" s="2" t="inlineStr"/>
      <c r="F7" s="2" t="inlineStr"/>
      <c r="G7" s="2" t="inlineStr"/>
      <c r="H7" s="2" t="inlineStr"/>
      <c r="I7" s="2" t="inlineStr"/>
      <c r="J7" s="2" t="inlineStr"/>
      <c r="K7" s="2" t="inlineStr"/>
      <c r="L7" s="2" t="inlineStr"/>
    </row>
    <row r="8">
      <c r="A8" s="1" t="n">
        <v>10</v>
      </c>
      <c r="B8" s="1" t="inlineStr">
        <is>
          <t>Material Files</t>
        </is>
      </c>
      <c r="C8" s="1" t="inlineStr">
        <is>
          <t>bugscribe_mutli-candidate_transitions_and_screen_descriptions</t>
        </is>
      </c>
      <c r="D8" s="1" t="inlineStr">
        <is>
          <t>LC_LP</t>
        </is>
      </c>
      <c r="E8" s="1" t="inlineStr">
        <is>
          <t>It restarts on its own.</t>
        </is>
      </c>
      <c r="F8" s="1" t="inlineStr"/>
      <c r="G8" s="1" t="inlineStr">
        <is>
          <t>Buggy Behavior: the server restarts automatically
Triggering GUI Interaction: stops the FTP server and then closes the app
Triggering Screen Reference: FTP server screen
Correct Behavior: The FTP server should remain stopped</t>
        </is>
      </c>
      <c r="H8" s="1" t="inlineStr">
        <is>
          <t>Buggy Behavior: the FTP server is restarting on its own
Triggering GUI Interactions: turns the server on, turns it off, leaves the FTP server screen, and then swipes the app away from Recents
Triggering Screen Reference: On the FTP server screen
Correct Behavior: The FTP server should remain off after the user toggles it off and leaves the FTP server screen, and it should not restart automatically on its own.</t>
        </is>
      </c>
      <c r="I8" s="1" t="inlineStr">
        <is>
          <t>Correct</t>
        </is>
      </c>
      <c r="J8" s="1" t="inlineStr">
        <is>
          <t>Correct</t>
        </is>
      </c>
      <c r="K8" s="1" t="inlineStr">
        <is>
          <t>Correct</t>
        </is>
      </c>
      <c r="L8" s="1" t="inlineStr">
        <is>
          <t>Correct</t>
        </is>
      </c>
    </row>
    <row r="9">
      <c r="A9" s="2" t="inlineStr"/>
      <c r="B9" s="2" t="inlineStr"/>
      <c r="C9" s="2" t="inlineStr"/>
      <c r="D9" s="2" t="inlineStr"/>
      <c r="E9" s="2" t="inlineStr"/>
      <c r="F9" s="2" t="inlineStr"/>
      <c r="G9" s="2" t="inlineStr"/>
      <c r="H9" s="2" t="inlineStr"/>
      <c r="I9" s="2" t="inlineStr"/>
      <c r="J9" s="2" t="inlineStr"/>
      <c r="K9" s="2" t="inlineStr"/>
      <c r="L9" s="2" t="inlineStr"/>
    </row>
    <row r="10">
      <c r="A10" s="1" t="n">
        <v>135</v>
      </c>
      <c r="B10" s="1" t="inlineStr">
        <is>
          <t>Wikimedia Commons</t>
        </is>
      </c>
      <c r="C10" s="1" t="inlineStr">
        <is>
          <t>bugscribe_mutli-candidate_transitions_and_screen_descriptions</t>
        </is>
      </c>
      <c r="D10" s="1" t="inlineStr">
        <is>
          <t>HC_HP</t>
        </is>
      </c>
      <c r="E10" s="1" t="inlineStr">
        <is>
          <t>Open App, swipe left four times, tap YES, tap Skip, tap YES, open the navigation drawer, select Explore, tap a picture, swipe up twice, tap a category, and tap Parent Categories to reach the Category screen in the Parent Categories tab; clicking the Parent Categories tab results in a blank page, but the Parent Categories of the current category should be displayed.</t>
        </is>
      </c>
      <c r="F10" s="1" t="inlineStr">
        <is>
          <t>Title: Parent Categories tab opens a blank page on the category details screen
Observed Behavior: On the Category Details screen in the Parent Categories tab, if the user taps the PARENT CATEGORIES tab, a blank page is shown.
Expected Behavior: The Parent Categories of the current category should be displayed.</t>
        </is>
      </c>
      <c r="G10" s="1" t="inlineStr">
        <is>
          <t>Buggy Behavior: see a blank page
Triggering GUI Interaction: clicks the Parent Categories tab
Triggering Screen Reference: Category screen, Parent Categories tab
Correct Behavior: The Parent Categories of the current category should be displayed</t>
        </is>
      </c>
      <c r="H10" s="1" t="inlineStr">
        <is>
          <t>Buggy Behavior: a blank page is shown
Triggering GUI Interactions: taps the PARENT CATEGORIES tab
Triggering Screen Reference: On the Category Details screen in the Parent Categories tab
Correct Behavior: The Parent Categories of the current category should be displayed</t>
        </is>
      </c>
      <c r="I10" s="1" t="inlineStr">
        <is>
          <t>Correct</t>
        </is>
      </c>
      <c r="J10" s="1" t="inlineStr">
        <is>
          <t>Correct</t>
        </is>
      </c>
      <c r="K10" s="1" t="inlineStr">
        <is>
          <t>Correct</t>
        </is>
      </c>
      <c r="L10" s="1" t="inlineStr">
        <is>
          <t>Correct</t>
        </is>
      </c>
    </row>
    <row r="11">
      <c r="A11" s="2" t="inlineStr"/>
      <c r="B11" s="2" t="inlineStr"/>
      <c r="C11" s="2" t="inlineStr"/>
      <c r="D11" s="2" t="inlineStr"/>
      <c r="E11" s="2" t="inlineStr"/>
      <c r="F11" s="2" t="inlineStr"/>
      <c r="G11" s="2" t="inlineStr"/>
      <c r="H11" s="2" t="inlineStr"/>
      <c r="I11" s="2" t="inlineStr"/>
      <c r="J11" s="2" t="inlineStr"/>
      <c r="K11" s="2" t="inlineStr"/>
      <c r="L11" s="2" t="inlineStr"/>
    </row>
    <row r="12">
      <c r="A12" s="1" t="n">
        <v>135</v>
      </c>
      <c r="B12" s="1" t="inlineStr">
        <is>
          <t>Wikimedia Commons</t>
        </is>
      </c>
      <c r="C12" s="1" t="inlineStr">
        <is>
          <t>bugscribe_mutli-candidate_transitions_and_screen_descriptions</t>
        </is>
      </c>
      <c r="D12" s="1" t="inlineStr">
        <is>
          <t>LC_HP</t>
        </is>
      </c>
      <c r="E12" s="1" t="inlineStr">
        <is>
          <t>The Parent Categories of the current category should be displayed.</t>
        </is>
      </c>
      <c r="F12" s="1" t="inlineStr"/>
      <c r="G12" s="1" t="inlineStr">
        <is>
          <t>Buggy Behavior: see a blank page
Triggering GUI Interaction: clicks the Parent Categories tab
Triggering Screen Reference: Category screen, Parent Categories tab
Correct Behavior: The Parent Categories of the current category should be displayed</t>
        </is>
      </c>
      <c r="H12" s="1" t="inlineStr">
        <is>
          <t>Buggy Behavior: the parent categories of the current category are not displayed
Triggering GUI Interactions: taps the "PARENT CATEGORIES" tab
Triggering Screen Reference: On the category details screen for "Focus stacking images of insects,"
Correct Behavior: The parent categories of the current category should be displayed.</t>
        </is>
      </c>
      <c r="I12" s="1" t="inlineStr">
        <is>
          <t>Correct</t>
        </is>
      </c>
      <c r="J12" s="1" t="inlineStr">
        <is>
          <t>Correct</t>
        </is>
      </c>
      <c r="K12" s="1" t="inlineStr">
        <is>
          <t>Incomplete</t>
        </is>
      </c>
      <c r="L12" s="1" t="inlineStr">
        <is>
          <t>Correct</t>
        </is>
      </c>
    </row>
    <row r="13">
      <c r="A13" s="2" t="inlineStr"/>
      <c r="B13" s="2" t="inlineStr"/>
      <c r="C13" s="2" t="inlineStr"/>
      <c r="D13" s="2" t="inlineStr"/>
      <c r="E13" s="2" t="inlineStr"/>
      <c r="F13" s="2" t="inlineStr"/>
      <c r="G13" s="2" t="inlineStr"/>
      <c r="H13" s="2" t="inlineStr"/>
      <c r="I13" s="2" t="inlineStr"/>
      <c r="J13" s="2" t="inlineStr"/>
      <c r="K13" s="2" t="inlineStr"/>
      <c r="L13" s="2" t="inlineStr"/>
    </row>
    <row r="14">
      <c r="A14" s="1" t="n">
        <v>135</v>
      </c>
      <c r="B14" s="1" t="inlineStr">
        <is>
          <t>Wikimedia Commons</t>
        </is>
      </c>
      <c r="C14" s="1" t="inlineStr">
        <is>
          <t>bugscribe_mutli-candidate_transitions_and_screen_descriptions</t>
        </is>
      </c>
      <c r="D14" s="1" t="inlineStr">
        <is>
          <t>MC_HP</t>
        </is>
      </c>
      <c r="E14" s="1" t="inlineStr">
        <is>
          <t>Clicking the Parent Categories tab results in a blank page, but the Parent Categories of the current category should be displayed.</t>
        </is>
      </c>
      <c r="F14" s="1" t="inlineStr"/>
      <c r="G14" s="1" t="inlineStr">
        <is>
          <t>Buggy Behavior: see a blank page
Triggering GUI Interaction: clicks the Parent Categories tab
Triggering Screen Reference: Category screen, Parent Categories tab
Correct Behavior: The Parent Categories of the current category should be displayed</t>
        </is>
      </c>
      <c r="H14" s="1" t="inlineStr">
        <is>
          <t>Buggy Behavior: the app results in a blank page
Triggering GUI Interactions: taps the PARENT CATEGORIES tab
Triggering Screen Reference: On the Category Details screen
Correct Behavior: The Parent Categories of the current category should be displayed.</t>
        </is>
      </c>
      <c r="I14" s="1" t="inlineStr">
        <is>
          <t>Correct</t>
        </is>
      </c>
      <c r="J14" s="1" t="inlineStr">
        <is>
          <t>Correct</t>
        </is>
      </c>
      <c r="K14" s="1" t="inlineStr">
        <is>
          <t>Incomplete</t>
        </is>
      </c>
      <c r="L14" s="1" t="inlineStr">
        <is>
          <t>Correct</t>
        </is>
      </c>
    </row>
    <row r="15">
      <c r="A15" s="2" t="inlineStr"/>
      <c r="B15" s="2" t="inlineStr"/>
      <c r="C15" s="2" t="inlineStr"/>
      <c r="D15" s="2" t="inlineStr"/>
      <c r="E15" s="2" t="inlineStr"/>
      <c r="F15" s="2" t="inlineStr"/>
      <c r="G15" s="2" t="inlineStr"/>
      <c r="H15" s="2" t="inlineStr"/>
      <c r="I15" s="2" t="inlineStr"/>
      <c r="J15" s="2" t="inlineStr"/>
      <c r="K15" s="2" t="inlineStr"/>
      <c r="L15" s="2" t="inlineStr"/>
    </row>
    <row r="16">
      <c r="A16" s="1" t="n">
        <v>2</v>
      </c>
      <c r="B16" s="1" t="inlineStr">
        <is>
          <t>Family Finance</t>
        </is>
      </c>
      <c r="C16" s="1" t="inlineStr">
        <is>
          <t>bugscribe_mutli-candidate_transitions_and_screen_descriptions</t>
        </is>
      </c>
      <c r="D16" s="1" t="inlineStr">
        <is>
          <t>HC_HP</t>
        </is>
      </c>
      <c r="E16" s="1" t="inlineStr">
        <is>
          <t>On Display of Incomes by Articles pop-up of the Reports screen changing the report appearance from 'view values' to 'use percent values' causes the application to crash, but the appearance of the report should be changed to 'use percent values'. I took these steps: Open the app, tap Allow, select Report, choose Incomes By Articles or Expenses By Articles, tap View, check 'view values', check 'use percent values', and tap OK.</t>
        </is>
      </c>
      <c r="F16" s="1" t="inlineStr"/>
      <c r="G16" s="1" t="inlineStr">
        <is>
          <t>Buggy Behavior: the application crashes
Triggering GUI Interaction: changes the appearance of the report from 'view values' to use percent values'
Triggering Screen Reference: Display of Incomes by Articles pop-up of the Reports screen
Correct Behavior: The appearance of the report should be changed to 'use percent values'</t>
        </is>
      </c>
      <c r="H16" s="1" t="inlineStr">
        <is>
          <t>Buggy Behavior: the application crashes
Triggering GUI Interactions: checks View values, checks Use percent values, and taps OK
Triggering Screen Reference: On the Display of Incomes by Articles dialog of the Reports screen
Correct Behavior: The appearance of the report should be changed to use percent values.</t>
        </is>
      </c>
      <c r="I16" s="1" t="inlineStr">
        <is>
          <t>Correct</t>
        </is>
      </c>
      <c r="J16" s="1" t="inlineStr">
        <is>
          <t>Correct</t>
        </is>
      </c>
      <c r="K16" s="1" t="inlineStr">
        <is>
          <t>Correct</t>
        </is>
      </c>
      <c r="L16" s="1" t="inlineStr">
        <is>
          <t>Correct</t>
        </is>
      </c>
    </row>
    <row r="17">
      <c r="A17" s="2" t="inlineStr"/>
      <c r="B17" s="2" t="inlineStr"/>
      <c r="C17" s="2" t="inlineStr"/>
      <c r="D17" s="2" t="inlineStr"/>
      <c r="E17" s="2" t="inlineStr"/>
      <c r="F17" s="2" t="inlineStr"/>
      <c r="G17" s="2" t="inlineStr"/>
      <c r="H17" s="2" t="inlineStr"/>
      <c r="I17" s="2" t="inlineStr"/>
      <c r="J17" s="2" t="inlineStr"/>
      <c r="K17" s="2" t="inlineStr"/>
      <c r="L17" s="2" t="inlineStr"/>
    </row>
    <row r="18">
      <c r="A18" s="1" t="n">
        <v>2</v>
      </c>
      <c r="B18" s="1" t="inlineStr">
        <is>
          <t>Family Finance</t>
        </is>
      </c>
      <c r="C18" s="1" t="inlineStr">
        <is>
          <t>bugscribe_mutli-candidate_transitions_and_screen_descriptions</t>
        </is>
      </c>
      <c r="D18" s="1" t="inlineStr">
        <is>
          <t>MC_MP</t>
        </is>
      </c>
      <c r="E18" s="1" t="inlineStr">
        <is>
          <t>Changing the report appearance from 'view values' to 'use percent values' results in the application crashing.</t>
        </is>
      </c>
      <c r="F18" s="1" t="inlineStr"/>
      <c r="G18" s="1" t="inlineStr">
        <is>
          <t>Buggy Behavior: the application crashes
Triggering GUI Interaction: changes the appearance of the report from 'view values' to use percent values'
Triggering Screen Reference: Display of Incomes by Articles pop-up of the Reports screen
Correct Behavior: The appearance of the report should be changed to 'use percent values'</t>
        </is>
      </c>
      <c r="H18" s="1" t="inlineStr">
        <is>
          <t>Buggy Behavior: the application crashes
Triggering GUI Interactions: the user taps the "Use percent values" checkbox
Triggering Screen Reference: On the Display of Incomes by Articles dialog
Correct Behavior: The application should change the report appearance to use percent values without crashing.</t>
        </is>
      </c>
      <c r="I18" s="1" t="inlineStr">
        <is>
          <t>Correct</t>
        </is>
      </c>
      <c r="J18" s="1" t="inlineStr">
        <is>
          <t>Correct</t>
        </is>
      </c>
      <c r="K18" s="1" t="inlineStr">
        <is>
          <t>Correct</t>
        </is>
      </c>
      <c r="L18" s="1" t="inlineStr">
        <is>
          <t>Correct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14" customWidth="1" min="4" max="4"/>
    <col width="22" customWidth="1" min="5" max="5"/>
    <col width="20" customWidth="1" min="6" max="6"/>
    <col width="18" customWidth="1" min="7" max="7"/>
    <col width="18" customWidth="1" min="8" max="8"/>
    <col width="20" customWidth="1" min="9" max="9"/>
    <col width="19" customWidth="1" min="10" max="10"/>
    <col width="18" customWidth="1" min="11" max="11"/>
    <col width="20" customWidth="1" min="12" max="12"/>
    <col width="34" customWidth="1" min="13" max="13"/>
    <col width="32" customWidth="1" min="14" max="14"/>
    <col width="34" customWidth="1" min="15" max="15"/>
    <col width="26" customWidth="1" min="16" max="16"/>
  </cols>
  <sheetData>
    <row r="1">
      <c r="A1" t="inlineStr">
        <is>
          <t>agent_version</t>
        </is>
      </c>
      <c r="B1" t="inlineStr">
        <is>
          <t>s2r_cs_count</t>
        </is>
      </c>
      <c r="C1" t="inlineStr">
        <is>
          <t>s2r_ms_count</t>
        </is>
      </c>
      <c r="D1" t="inlineStr">
        <is>
          <t>s2r_es_count</t>
        </is>
      </c>
      <c r="E1" t="inlineStr">
        <is>
          <t>average_s2r_precision</t>
        </is>
      </c>
      <c r="F1" t="inlineStr">
        <is>
          <t>average_s2r_recall</t>
        </is>
      </c>
      <c r="G1" t="inlineStr">
        <is>
          <t>average_s2r_f1</t>
        </is>
      </c>
      <c r="H1" t="inlineStr">
        <is>
          <t>info_correct_count</t>
        </is>
      </c>
      <c r="I1" t="inlineStr">
        <is>
          <t>info_incomplete_count</t>
        </is>
      </c>
      <c r="J1" t="inlineStr">
        <is>
          <t>info_ambiguous_count</t>
        </is>
      </c>
      <c r="K1" t="inlineStr">
        <is>
          <t>info_missing_count</t>
        </is>
      </c>
      <c r="L1" t="inlineStr">
        <is>
          <t>info_incorrect_count</t>
        </is>
      </c>
      <c r="M1" t="inlineStr">
        <is>
          <t>average_total_tokens_consumed_per_conv</t>
        </is>
      </c>
      <c r="N1" t="inlineStr">
        <is>
          <t>average_wall_clock_seconds_per_conv</t>
        </is>
      </c>
      <c r="O1" t="inlineStr">
        <is>
          <t>average_turn_processing_seconds_per_conv</t>
        </is>
      </c>
      <c r="P1" t="inlineStr">
        <is>
          <t>average_conversation_turns</t>
        </is>
      </c>
    </row>
    <row r="2">
      <c r="A2" t="inlineStr">
        <is>
          <t>bugscribe_mutli-candidate_transitions_and_screen_descriptions</t>
        </is>
      </c>
      <c r="B2">
        <f>COUNTIF('S2R Review'!$K:$K,"CS")</f>
        <v/>
      </c>
      <c r="C2">
        <f>SUM('S2R Review'!$O:$O)-B2</f>
        <v/>
      </c>
      <c r="D2">
        <f>COUNTIF('S2R Review'!$K:$K,"ES")</f>
        <v/>
      </c>
      <c r="E2">
        <f>IFERROR(SUM('S2R Review'!$L$2:$L$1048576)/COUNTIF('S2R Review'!$L$2:$L$1048576,"&lt;&gt;"),"")</f>
        <v/>
      </c>
      <c r="F2">
        <f>IFERROR(SUM('S2R Review'!$M$2:$M$1048576)/COUNTIF('S2R Review'!$M$2:$M$1048576,"&lt;&gt;"),"")</f>
        <v/>
      </c>
      <c r="G2">
        <f>IFERROR(SUM('S2R Review'!$N$2:$N$1048576)/COUNTIF('S2R Review'!$N$2:$N$1048576,"&lt;&gt;"),"")</f>
        <v/>
      </c>
      <c r="H2">
        <f>COUNTIF('Info Elements Review'!$I:$I,"Correct")+COUNTIF('Info Elements Review'!$J:$J,"Correct")+COUNTIF('Info Elements Review'!$K:$K,"Correct")+COUNTIF('Info Elements Review'!$L:$L,"Correct")</f>
        <v/>
      </c>
      <c r="I2">
        <f>COUNTIF('Info Elements Review'!$I:$I,"Incomplete")+COUNTIF('Info Elements Review'!$J:$J,"Incomplete")+COUNTIF('Info Elements Review'!$K:$K,"Incomplete")+COUNTIF('Info Elements Review'!$L:$L,"Incomplete")</f>
        <v/>
      </c>
      <c r="J2">
        <f>COUNTIF('Info Elements Review'!$I:$I,"Ambiguous")+COUNTIF('Info Elements Review'!$J:$J,"Ambiguous")+COUNTIF('Info Elements Review'!$K:$K,"Ambiguous")+COUNTIF('Info Elements Review'!$L:$L,"Ambiguous")</f>
        <v/>
      </c>
      <c r="K2">
        <f>COUNTIF('Info Elements Review'!$I:$I,"Missing")+COUNTIF('Info Elements Review'!$J:$J,"Missing")+COUNTIF('Info Elements Review'!$K:$K,"Missing")+COUNTIF('Info Elements Review'!$L:$L,"Missing")</f>
        <v/>
      </c>
      <c r="L2">
        <f>COUNTIF('Info Elements Review'!$I:$I,"Incorrect")+COUNTIF('Info Elements Review'!$J:$J,"Incorrect")+COUNTIF('Info Elements Review'!$K:$K,"Incorrect")+COUNTIF('Info Elements Review'!$L:$L,"Incorrect")</f>
        <v/>
      </c>
      <c r="M2" t="n">
        <v>71972.11111111111</v>
      </c>
      <c r="N2" t="n">
        <v>28.520764</v>
      </c>
      <c r="O2" t="n">
        <v>28.520764</v>
      </c>
      <c r="P2" t="n">
        <v>1.333333333333333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2026-05-05T20:45:17Z</dcterms:created>
  <dcterms:modified xsi:type="dcterms:W3CDTF">2026-05-05T20:45:17Z</dcterms:modified>
</cp:coreProperties>
</file>